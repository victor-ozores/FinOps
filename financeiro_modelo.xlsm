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CTOR\Desktop\Workspaces\FinOps\"/>
    </mc:Choice>
  </mc:AlternateContent>
  <xr:revisionPtr revIDLastSave="0" documentId="13_ncr:1_{F1B91BF5-CBD2-4981-B97E-435655BE0841}" xr6:coauthVersionLast="47" xr6:coauthVersionMax="47" xr10:uidLastSave="{00000000-0000-0000-0000-000000000000}"/>
  <bookViews>
    <workbookView xWindow="-110" yWindow="-110" windowWidth="25820" windowHeight="14020" tabRatio="747" activeTab="4" xr2:uid="{00000000-000D-0000-FFFF-FFFF00000000}"/>
  </bookViews>
  <sheets>
    <sheet name="Lancamentos_Eventuais" sheetId="2" r:id="rId1"/>
    <sheet name="Lancamentos_Fixos" sheetId="11" r:id="rId2"/>
    <sheet name="PQ_Base_Opcoes_Formatada" sheetId="5" state="hidden" r:id="rId3"/>
    <sheet name="AUX_Base_Opcoes" sheetId="6" state="hidden" r:id="rId4"/>
    <sheet name="Base_Opcoes" sheetId="1" r:id="rId5"/>
    <sheet name="Configs" sheetId="12" r:id="rId6"/>
  </sheets>
  <functionGroups builtInGroupCount="19"/>
  <definedNames>
    <definedName name="_xleta.IF" hidden="1" xlm="1">#NAME?</definedName>
    <definedName name="_xleta.SUM" hidden="1" xlm="1">#NAME?</definedName>
    <definedName name="DadosExternos_1" localSheetId="2" hidden="1">PQ_Base_Opcoes_Formatada!$A$1:$U$36</definedName>
    <definedName name="lista_cartao_credito">OFFSET(AUX_Base_Opcoes!$A$1,1,MATCH("CARTAO_CREDITO",AUX_Base_Opcoes!$1:$1,0)-1,COUNTA(OFFSET(AUX_Base_Opcoes!$A$1,1,MATCH("CARTAO_CREDITO",AUX_Base_Opcoes!$1:$1,0)-1,1000,1)),1)</definedName>
    <definedName name="lista_categoria_lancamento">OFFSET(AUX_Base_Opcoes!$A$1,1,MATCH("CATEGORIA_LANCAMENTO",AUX_Base_Opcoes!$1:$1,0)-1,COUNTA(OFFSET(AUX_Base_Opcoes!$A$1,1,MATCH("CATEGORIA_LANCAMENTO",AUX_Base_Opcoes!$1:$1,0)-1,1000,1)),1)</definedName>
    <definedName name="lista_frequencia">OFFSET(AUX_Base_Opcoes!$A$1,1,MATCH("FREQUENCIA",AUX_Base_Opcoes!$1:$1,0)-1,COUNTA(OFFSET(AUX_Base_Opcoes!$A$1,1,MATCH("FREQUENCIA",AUX_Base_Opcoes!$1:$1,0)-1,1000,1)),1)</definedName>
    <definedName name="lista_metodos_pagamento">OFFSET(AUX_Base_Opcoes!$A$1,1,MATCH("METODO_PAGAMENTO",AUX_Base_Opcoes!$1:$1,0)-1,COUNTA(OFFSET(AUX_Base_Opcoes!$A$1,1,MATCH("METODO_PAGAMENTO",AUX_Base_Opcoes!$1:$1,0)-1,1000,1)),1)</definedName>
    <definedName name="lista_responsavel">OFFSET(AUX_Base_Opcoes!$A$1,1,MATCH("RESPONSAVEL",AUX_Base_Opcoes!$1:$1,0)-1,COUNTA(OFFSET(AUX_Base_Opcoes!$A$1,1,MATCH("RESPONSAVEL",AUX_Base_Opcoes!$1:$1,0)-1,1000,1)),1)</definedName>
    <definedName name="lista_status_generico">OFFSET(AUX_Base_Opcoes!$A$1,1,MATCH("STATUS_GENERICO",AUX_Base_Opcoes!$1:$1,0)-1,COUNTA(OFFSET(AUX_Base_Opcoes!$A$1,1,MATCH("STATUS_GENERICO",AUX_Base_Opcoes!$1:$1,0)-1,1000,1)),1)</definedName>
    <definedName name="lista_status_pagamento_lancamento">OFFSET(AUX_Base_Opcoes!$A$1,1,MATCH("STATUS_PAGAMENTO",AUX_Base_Opcoes!$1:$1,0)-1,COUNTA(OFFSET(AUX_Base_Opcoes!$A$1,1,MATCH("STATUS_PAGAMENTO",AUX_Base_Opcoes!$1:$1,0)-1,1000,1)),1)</definedName>
    <definedName name="lista_tipo_lancamento">OFFSET(AUX_Base_Opcoes!$A$1,1,MATCH("TIPO_LANCAMENTO",AUX_Base_Opcoes!$1:$1,0)-1,COUNTA(OFFSET(AUX_Base_Opcoes!$A$1,1,MATCH("TIPO_LANCAMENTO",AUX_Base_Opcoes!$1:$1,0)-1,1000,1)),1)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6" l="1" a="1"/>
  <c r="A1" i="6" s="1"/>
  <c r="EA2" i="6" a="1"/>
  <c r="N2" i="6" a="1"/>
  <c r="IN2" i="6" a="1"/>
  <c r="F2" i="6" a="1"/>
  <c r="EH2" i="6" a="1"/>
  <c r="BK2" i="6" a="1"/>
  <c r="J2" i="6" a="1"/>
  <c r="H2" i="6" a="1"/>
  <c r="FI2" i="6" a="1"/>
  <c r="AW2" i="6" a="1"/>
  <c r="CC2" i="6" a="1"/>
  <c r="K2" i="6" a="1"/>
  <c r="DO2" i="6" a="1"/>
  <c r="BY2" i="6" a="1"/>
  <c r="AU2" i="6" a="1"/>
  <c r="AJ2" i="6" a="1"/>
  <c r="BH2" i="6" a="1"/>
  <c r="L2" i="6" a="1"/>
  <c r="GB2" i="6" a="1"/>
  <c r="C2" i="6" a="1"/>
  <c r="EO2" i="6" a="1"/>
  <c r="DN2" i="6" a="1"/>
  <c r="DT2" i="6" a="1"/>
  <c r="FM2" i="6" a="1"/>
  <c r="IF2" i="6" a="1"/>
  <c r="AM2" i="6" a="1"/>
  <c r="V2" i="6" a="1"/>
  <c r="AE2" i="6" a="1"/>
  <c r="P2" i="6" a="1"/>
  <c r="EF2" i="6" a="1"/>
  <c r="GO2" i="6" a="1"/>
  <c r="DB2" i="6" a="1"/>
  <c r="GH2" i="6" a="1"/>
  <c r="CP2" i="6" a="1"/>
  <c r="DV2" i="6" a="1"/>
  <c r="HD2" i="6" a="1"/>
  <c r="EN2" i="6" a="1"/>
  <c r="HE2" i="6" a="1"/>
  <c r="IK2" i="6" a="1"/>
  <c r="EZ2" i="6" a="1"/>
  <c r="HQ2" i="6" a="1"/>
  <c r="DS2" i="6" a="1"/>
  <c r="BS2" i="6" a="1"/>
  <c r="Z2" i="6" a="1"/>
  <c r="GZ2" i="6" a="1"/>
  <c r="DL2" i="6" a="1"/>
  <c r="I2" i="6" a="1"/>
  <c r="CF2" i="6" a="1"/>
  <c r="GF2" i="6" a="1"/>
  <c r="GP2" i="6" a="1"/>
  <c r="HL2" i="6" a="1"/>
  <c r="CE2" i="6" a="1"/>
  <c r="CY2" i="6" a="1"/>
  <c r="CD2" i="6" a="1"/>
  <c r="CB2" i="6" a="1"/>
  <c r="Y2" i="6" a="1"/>
  <c r="EY2" i="6" a="1"/>
  <c r="FQ2" i="6" a="1"/>
  <c r="HO2" i="6" a="1"/>
  <c r="EX2" i="6" a="1"/>
  <c r="EG2" i="6" a="1"/>
  <c r="BG2" i="6" a="1"/>
  <c r="B2" i="6" a="1"/>
  <c r="BI2" i="6" a="1"/>
  <c r="FK2" i="6" a="1"/>
  <c r="GS2" i="6" a="1"/>
  <c r="AZ2" i="6" a="1"/>
  <c r="AD2" i="6" a="1"/>
  <c r="T2" i="6" a="1"/>
  <c r="CM2" i="6" a="1"/>
  <c r="HA2" i="6" a="1"/>
  <c r="GT2" i="6" a="1"/>
  <c r="AQ2" i="6" a="1"/>
  <c r="GV2" i="6" a="1"/>
  <c r="FN2" i="6" a="1"/>
  <c r="E2" i="6" a="1"/>
  <c r="BT2" i="6" a="1"/>
  <c r="CV2" i="6" a="1"/>
  <c r="BB2" i="6" a="1"/>
  <c r="AG2" i="6" a="1"/>
  <c r="D2" i="6" a="1"/>
  <c r="BE2" i="6" a="1"/>
  <c r="ED2" i="6" a="1"/>
  <c r="BV2" i="6" a="1"/>
  <c r="FA2" i="6" a="1"/>
  <c r="FT2" i="6" a="1"/>
  <c r="DC2" i="6" a="1"/>
  <c r="CG2" i="6" a="1"/>
  <c r="DR2" i="6" a="1"/>
  <c r="FY2" i="6" a="1"/>
  <c r="FJ2" i="6" a="1"/>
  <c r="HW2" i="6" a="1"/>
  <c r="CH2" i="6" a="1"/>
  <c r="EW2" i="6" a="1"/>
  <c r="BX2" i="6" a="1"/>
  <c r="GE2" i="6" a="1"/>
  <c r="GK2" i="6" a="1"/>
  <c r="GM2" i="6" a="1"/>
  <c r="FP2" i="6" a="1"/>
  <c r="CK2" i="6" a="1"/>
  <c r="AR2" i="6" a="1"/>
  <c r="FX2" i="6" a="1"/>
  <c r="AS2" i="6" a="1"/>
  <c r="CZ2" i="6" a="1"/>
  <c r="GG2" i="6" a="1"/>
  <c r="CI2" i="6" a="1"/>
  <c r="BD2" i="6" a="1"/>
  <c r="DP2" i="6" a="1"/>
  <c r="W2" i="6" a="1"/>
  <c r="EK2" i="6" a="1"/>
  <c r="O2" i="6" a="1"/>
  <c r="AB2" i="6" a="1"/>
  <c r="DQ2" i="6" a="1"/>
  <c r="FD2" i="6" a="1"/>
  <c r="AP2" i="6" a="1"/>
  <c r="DY2" i="6" a="1"/>
  <c r="IM2" i="6" a="1"/>
  <c r="R2" i="6" a="1"/>
  <c r="EQ2" i="6" a="1"/>
  <c r="BO2" i="6" a="1"/>
  <c r="FH2" i="6" a="1"/>
  <c r="EL2" i="6" a="1"/>
  <c r="ES2" i="6" a="1"/>
  <c r="BP2" i="6" a="1"/>
  <c r="HU2" i="6" a="1"/>
  <c r="FR2" i="6" a="1"/>
  <c r="AH2" i="6" a="1"/>
  <c r="HS2" i="6" a="1"/>
  <c r="AX2" i="6" a="1"/>
  <c r="CA2" i="6" a="1"/>
  <c r="DK2" i="6" a="1"/>
  <c r="AT2" i="6" a="1"/>
  <c r="HK2" i="6" a="1"/>
  <c r="CT2" i="6" a="1"/>
  <c r="GJ2" i="6" a="1"/>
  <c r="EM2" i="6" a="1"/>
  <c r="EC2" i="6" a="1"/>
  <c r="CL2" i="6" a="1"/>
  <c r="A2" i="6" a="1"/>
  <c r="ER2" i="6" a="1"/>
  <c r="DU2" i="6" a="1"/>
  <c r="HX2" i="6" a="1"/>
  <c r="HJ2" i="6" a="1"/>
  <c r="BF2" i="6" a="1"/>
  <c r="DA2" i="6" a="1"/>
  <c r="DD2" i="6" a="1"/>
  <c r="AF2" i="6" a="1"/>
  <c r="DM2" i="6" a="1"/>
  <c r="S2" i="6" a="1"/>
  <c r="HC2" i="6" a="1"/>
  <c r="GU2" i="6" a="1"/>
  <c r="FF2" i="6" a="1"/>
  <c r="EV2" i="6" a="1"/>
  <c r="AO2" i="6" a="1"/>
  <c r="HV2" i="6" a="1"/>
  <c r="BN2" i="6" a="1"/>
  <c r="HG2" i="6" a="1"/>
  <c r="HT2" i="6" a="1"/>
  <c r="BL2" i="6" a="1"/>
  <c r="IJ2" i="6" a="1"/>
  <c r="EB2" i="6" a="1"/>
  <c r="EP2" i="6" a="1"/>
  <c r="GY2" i="6" a="1"/>
  <c r="DI2" i="6" a="1"/>
  <c r="GW2" i="6" a="1"/>
  <c r="BQ2" i="6" a="1"/>
  <c r="IC2" i="6" a="1"/>
  <c r="G2" i="6" a="1"/>
  <c r="FU2" i="6" a="1"/>
  <c r="HI2" i="6" a="1"/>
  <c r="HB2" i="6" a="1"/>
  <c r="BR2" i="6" a="1"/>
  <c r="IE2" i="6" a="1"/>
  <c r="BJ2" i="6" a="1"/>
  <c r="DE2" i="6" a="1"/>
  <c r="AI2" i="6" a="1"/>
  <c r="EE2" i="6" a="1"/>
  <c r="HF2" i="6" a="1"/>
  <c r="FC2" i="6" a="1"/>
  <c r="AA2" i="6" a="1"/>
  <c r="U2" i="6" a="1"/>
  <c r="DH2" i="6" a="1"/>
  <c r="FE2" i="6" a="1"/>
  <c r="CO2" i="6" a="1"/>
  <c r="HY2" i="6" a="1"/>
  <c r="DW2" i="6" a="1"/>
  <c r="BZ2" i="6" a="1"/>
  <c r="DF2" i="6" a="1"/>
  <c r="AL2" i="6" a="1"/>
  <c r="IB2" i="6" a="1"/>
  <c r="FW2" i="6" a="1"/>
  <c r="FV2" i="6" a="1"/>
  <c r="AY2" i="6" a="1"/>
  <c r="FG2" i="6" a="1"/>
  <c r="FO2" i="6" a="1"/>
  <c r="GN2" i="6" a="1"/>
  <c r="DZ2" i="6" a="1"/>
  <c r="AK2" i="6" a="1"/>
  <c r="CQ2" i="6" a="1"/>
  <c r="DG2" i="6" a="1"/>
  <c r="CX2" i="6" a="1"/>
  <c r="ID2" i="6" a="1"/>
  <c r="FL2" i="6" a="1"/>
  <c r="EI2" i="6" a="1"/>
  <c r="FB2" i="6" a="1"/>
  <c r="IA2" i="6" a="1"/>
  <c r="CW2" i="6" a="1"/>
  <c r="HM2" i="6" a="1"/>
  <c r="FS2" i="6" a="1"/>
  <c r="CR2" i="6" a="1"/>
  <c r="HR2" i="6" a="1"/>
  <c r="CU2" i="6" a="1"/>
  <c r="II2" i="6" a="1"/>
  <c r="BC2" i="6" a="1"/>
  <c r="HP2" i="6" a="1"/>
  <c r="IH2" i="6" a="1"/>
  <c r="X2" i="6" a="1"/>
  <c r="BW2" i="6" a="1"/>
  <c r="IL2" i="6" a="1"/>
  <c r="GC2" i="6" a="1"/>
  <c r="DX2" i="6" a="1"/>
  <c r="GD2" i="6" a="1"/>
  <c r="BU2" i="6" a="1"/>
  <c r="M2" i="6" a="1"/>
  <c r="GI2" i="6" a="1"/>
  <c r="EU2" i="6" a="1"/>
  <c r="AC2" i="6" a="1"/>
  <c r="IG2" i="6" a="1"/>
  <c r="GQ2" i="6" a="1"/>
  <c r="GA2" i="6" a="1"/>
  <c r="GL2" i="6" a="1"/>
  <c r="HN2" i="6" a="1"/>
  <c r="CJ2" i="6" a="1"/>
  <c r="EJ2" i="6" a="1"/>
  <c r="ET2" i="6" a="1"/>
  <c r="BA2" i="6" a="1"/>
  <c r="FZ2" i="6" a="1"/>
  <c r="GX2" i="6" a="1"/>
  <c r="GR2" i="6" a="1"/>
  <c r="CS2" i="6" a="1"/>
  <c r="BM2" i="6" a="1"/>
  <c r="AN2" i="6" a="1"/>
  <c r="CN2" i="6" a="1"/>
  <c r="Q2" i="6" a="1"/>
  <c r="HZ2" i="6" a="1"/>
  <c r="AV2" i="6" a="1"/>
  <c r="HH2" i="6" a="1"/>
  <c r="DJ2" i="6" a="1"/>
  <c r="EH2" i="6" l="1"/>
  <c r="BE2" i="6"/>
  <c r="GM2" i="6"/>
  <c r="CV2" i="6"/>
  <c r="HI2" i="6"/>
  <c r="CM2" i="6"/>
  <c r="AD2" i="6"/>
  <c r="CC2" i="6"/>
  <c r="GG2" i="6"/>
  <c r="HV2" i="6"/>
  <c r="GN2" i="6"/>
  <c r="G2" i="6"/>
  <c r="W2" i="6"/>
  <c r="DG2" i="6"/>
  <c r="HL2" i="6"/>
  <c r="BW2" i="6"/>
  <c r="AN2" i="6"/>
  <c r="B2" i="6"/>
  <c r="DO2" i="6"/>
  <c r="CO2" i="6"/>
  <c r="BX2" i="6"/>
  <c r="CW2" i="6"/>
  <c r="HU2" i="6"/>
  <c r="DT2" i="6"/>
  <c r="BN2" i="6"/>
  <c r="IJ2" i="6"/>
  <c r="AT2" i="6"/>
  <c r="GL2" i="6"/>
  <c r="BC2" i="6"/>
  <c r="BT2" i="6"/>
  <c r="IN2" i="6"/>
  <c r="HE2" i="6"/>
  <c r="EK2" i="6"/>
  <c r="FI2" i="6"/>
  <c r="BJ2" i="6"/>
  <c r="CR2" i="6"/>
  <c r="FE2" i="6"/>
  <c r="EO2" i="6"/>
  <c r="O2" i="6"/>
  <c r="J2" i="6"/>
  <c r="ED2" i="6"/>
  <c r="BB2" i="6"/>
  <c r="GZ2" i="6"/>
  <c r="BH2" i="6"/>
  <c r="ID2" i="6"/>
  <c r="DX2" i="6"/>
  <c r="HB2" i="6"/>
  <c r="II2" i="6"/>
  <c r="AK2" i="6"/>
  <c r="FG2" i="6"/>
  <c r="IE2" i="6"/>
  <c r="CG2" i="6"/>
  <c r="AM2" i="6"/>
  <c r="GT2" i="6"/>
  <c r="CK2" i="6"/>
  <c r="EZ2" i="6"/>
  <c r="AA2" i="6"/>
  <c r="FK2" i="6"/>
  <c r="GJ2" i="6"/>
  <c r="DR2" i="6"/>
  <c r="IK2" i="6"/>
  <c r="AO2" i="6"/>
  <c r="HF2" i="6"/>
  <c r="R2" i="6"/>
  <c r="DP2" i="6"/>
  <c r="DM2" i="6"/>
  <c r="IF2" i="6"/>
  <c r="I2" i="6"/>
  <c r="EL2" i="6"/>
  <c r="GB2" i="6"/>
  <c r="GS2" i="6"/>
  <c r="BK2" i="6"/>
  <c r="AQ2" i="6"/>
  <c r="BQ2" i="6"/>
  <c r="DI2" i="6"/>
  <c r="GA2" i="6"/>
  <c r="Q2" i="6"/>
  <c r="IH2" i="6"/>
  <c r="GX2" i="6"/>
  <c r="FF2" i="6"/>
  <c r="E2" i="6"/>
  <c r="AJ2" i="6"/>
  <c r="FU2" i="6"/>
  <c r="EP2" i="6"/>
  <c r="DE2" i="6"/>
  <c r="HK2" i="6"/>
  <c r="FZ2" i="6"/>
  <c r="EN2" i="6"/>
  <c r="AB2" i="6"/>
  <c r="HJ2" i="6"/>
  <c r="HX2" i="6"/>
  <c r="BO2" i="6"/>
  <c r="EA2" i="6"/>
  <c r="HP2" i="6"/>
  <c r="HO2" i="6"/>
  <c r="BL2" i="6"/>
  <c r="GW2" i="6"/>
  <c r="DA2" i="6"/>
  <c r="FO2" i="6"/>
  <c r="BA2" i="6"/>
  <c r="AV2" i="6"/>
  <c r="C2" i="6"/>
  <c r="U2" i="6"/>
  <c r="GK2" i="6"/>
  <c r="CS2" i="6"/>
  <c r="DV2" i="6"/>
  <c r="FQ2" i="6"/>
  <c r="DQ2" i="6"/>
  <c r="HD2" i="6"/>
  <c r="AZ2" i="6"/>
  <c r="EQ2" i="6"/>
  <c r="CL2" i="6"/>
  <c r="CP2" i="6"/>
  <c r="AP2" i="6"/>
  <c r="HQ2" i="6"/>
  <c r="AH2" i="6"/>
  <c r="GQ2" i="6"/>
  <c r="GR2" i="6"/>
  <c r="HG2" i="6"/>
  <c r="DW2" i="6"/>
  <c r="AX2" i="6"/>
  <c r="K2" i="6"/>
  <c r="HY2" i="6"/>
  <c r="GF2" i="6"/>
  <c r="N2" i="6"/>
  <c r="ER2" i="6"/>
  <c r="IL2" i="6"/>
  <c r="DH2" i="6"/>
  <c r="DF2" i="6"/>
  <c r="DS2" i="6"/>
  <c r="F2" i="6"/>
  <c r="L2" i="6"/>
  <c r="GC2" i="6"/>
  <c r="BF2" i="6"/>
  <c r="CB2" i="6"/>
  <c r="FS2" i="6"/>
  <c r="BM2" i="6"/>
  <c r="FL2" i="6"/>
  <c r="FY2" i="6"/>
  <c r="M2" i="6"/>
  <c r="HZ2" i="6"/>
  <c r="DD2" i="6"/>
  <c r="BZ2" i="6"/>
  <c r="HM2" i="6"/>
  <c r="CH2" i="6"/>
  <c r="AG2" i="6"/>
  <c r="CE2" i="6"/>
  <c r="P2" i="6"/>
  <c r="H2" i="6"/>
  <c r="AC2" i="6"/>
  <c r="AI2" i="6"/>
  <c r="IG2" i="6"/>
  <c r="FJ2" i="6"/>
  <c r="CI2" i="6"/>
  <c r="FV2" i="6"/>
  <c r="CQ2" i="6"/>
  <c r="DK2" i="6"/>
  <c r="DU2" i="6"/>
  <c r="FM2" i="6"/>
  <c r="HT2" i="6"/>
  <c r="HC2" i="6"/>
  <c r="DL2" i="6"/>
  <c r="AU2" i="6"/>
  <c r="V2" i="6"/>
  <c r="ES2" i="6"/>
  <c r="EC2" i="6"/>
  <c r="EV2" i="6"/>
  <c r="Z2" i="6"/>
  <c r="X2" i="6"/>
  <c r="FA2" i="6"/>
  <c r="CN2" i="6"/>
  <c r="FD2" i="6"/>
  <c r="AR2" i="6"/>
  <c r="DB2" i="6"/>
  <c r="GE2" i="6"/>
  <c r="GU2" i="6"/>
  <c r="AF2" i="6"/>
  <c r="HN2" i="6"/>
  <c r="CU2" i="6"/>
  <c r="EI2" i="6"/>
  <c r="AW2" i="6"/>
  <c r="IM2" i="6"/>
  <c r="EG2" i="6"/>
  <c r="FX2" i="6"/>
  <c r="CZ2" i="6"/>
  <c r="D2" i="6"/>
  <c r="EW2" i="6"/>
  <c r="EY2" i="6"/>
  <c r="BY2" i="6"/>
  <c r="BI2" i="6"/>
  <c r="FB2" i="6"/>
  <c r="HH2" i="6"/>
  <c r="ET2" i="6"/>
  <c r="CD2" i="6"/>
  <c r="GV2" i="6"/>
  <c r="EX2" i="6"/>
  <c r="T2" i="6"/>
  <c r="CJ2" i="6"/>
  <c r="GP2" i="6"/>
  <c r="FH2" i="6"/>
  <c r="A2" i="6"/>
  <c r="DC2" i="6"/>
  <c r="CT2" i="6"/>
  <c r="GI2" i="6"/>
  <c r="BP2" i="6"/>
  <c r="FN2" i="6"/>
  <c r="HA2" i="6"/>
  <c r="BG2" i="6"/>
  <c r="CA2" i="6"/>
  <c r="EF2" i="6"/>
  <c r="EB2" i="6"/>
  <c r="EJ2" i="6"/>
  <c r="BU2" i="6"/>
  <c r="DN2" i="6"/>
  <c r="FT2" i="6"/>
  <c r="AE2" i="6"/>
  <c r="HW2" i="6"/>
  <c r="S2" i="6"/>
  <c r="AS2" i="6"/>
  <c r="CX2" i="6"/>
  <c r="GD2" i="6"/>
  <c r="BV2" i="6"/>
  <c r="AY2" i="6"/>
  <c r="GH2" i="6"/>
  <c r="IA2" i="6"/>
  <c r="FW2" i="6"/>
  <c r="DY2" i="6"/>
  <c r="BD2" i="6"/>
  <c r="EE2" i="6"/>
  <c r="CF2" i="6"/>
  <c r="IB2" i="6"/>
  <c r="FP2" i="6"/>
  <c r="CY2" i="6"/>
  <c r="EU2" i="6"/>
  <c r="AL2" i="6"/>
  <c r="DZ2" i="6"/>
  <c r="GO2" i="6"/>
  <c r="GY2" i="6"/>
  <c r="IC2" i="6"/>
  <c r="Y2" i="6"/>
  <c r="DJ2" i="6"/>
  <c r="BS2" i="6"/>
  <c r="FC2" i="6"/>
  <c r="HS2" i="6"/>
  <c r="HR2" i="6"/>
  <c r="FR2" i="6"/>
  <c r="EM2" i="6"/>
  <c r="BR2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72F34-79AA-484E-BAD5-D2BA02546CCA}" keepAlive="1" name="Consulta - PQ_Base_Opcoes_Formatada" description="Conexão com a consulta 'PQ_Base_Opcoes_Formatada' na pasta de trabalho." type="5" refreshedVersion="8" background="1" refreshOnLoad="1" saveData="1">
    <dbPr connection="Provider=Microsoft.Mashup.OleDb.1;Data Source=$Workbook$;Location=PQ_Base_Opcoes_Formatada;Extended Properties=&quot;&quot;" command="SELECT * FROM [PQ_Base_Opcoes_Formatada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<sst xmlns="http://schemas.openxmlformats.org/spreadsheetml/2006/main" count="3008" uniqueCount="461">
  <si>
    <t>RESPONSAVEL</t>
  </si>
  <si>
    <t>METODO_PAGAMENTO</t>
  </si>
  <si>
    <t>CARTAO CREDITO</t>
  </si>
  <si>
    <t>CARTAO DEBITO</t>
  </si>
  <si>
    <t>PIX</t>
  </si>
  <si>
    <t>DINHEIRO</t>
  </si>
  <si>
    <t>TRANSFERENCIA</t>
  </si>
  <si>
    <t>ALIMENTACAO</t>
  </si>
  <si>
    <t>RESTAURANTE</t>
  </si>
  <si>
    <t>SUPERMERCADO</t>
  </si>
  <si>
    <t>APPLE ONE</t>
  </si>
  <si>
    <t>HBO MAX</t>
  </si>
  <si>
    <t>KINDLE</t>
  </si>
  <si>
    <t>NETFLIX</t>
  </si>
  <si>
    <t>SPOTIFY</t>
  </si>
  <si>
    <t>TWITCH</t>
  </si>
  <si>
    <t>YOUTUBE PREMIUM</t>
  </si>
  <si>
    <t>BARBEARIA</t>
  </si>
  <si>
    <t>CABELEIREIRO</t>
  </si>
  <si>
    <t>MANICURE</t>
  </si>
  <si>
    <t>INTERNET FIBRA</t>
  </si>
  <si>
    <t>EDUCACAO</t>
  </si>
  <si>
    <t>FACULDADE</t>
  </si>
  <si>
    <t>IDIOMAS</t>
  </si>
  <si>
    <t>FINANCEIRO</t>
  </si>
  <si>
    <t>RESGATE INVESTIMENTO</t>
  </si>
  <si>
    <t>LAZER</t>
  </si>
  <si>
    <t>CINEMA</t>
  </si>
  <si>
    <t>HOBBIES</t>
  </si>
  <si>
    <t>MORADIA</t>
  </si>
  <si>
    <t>ALUGUEL</t>
  </si>
  <si>
    <t>CONDOMINIO</t>
  </si>
  <si>
    <t>ENERGIA ELETRICA</t>
  </si>
  <si>
    <t>IPTU</t>
  </si>
  <si>
    <t>PETS</t>
  </si>
  <si>
    <t>VETERINARIO</t>
  </si>
  <si>
    <t>RECEITA</t>
  </si>
  <si>
    <t>BONUS</t>
  </si>
  <si>
    <t>CASHBACK</t>
  </si>
  <si>
    <t>DIVIDENDOS</t>
  </si>
  <si>
    <t>FERIAS</t>
  </si>
  <si>
    <t>FREELANCE</t>
  </si>
  <si>
    <t>VENDA DE ITENS</t>
  </si>
  <si>
    <t>SAUDE</t>
  </si>
  <si>
    <t>ACADEMIA</t>
  </si>
  <si>
    <t>DENTISTA</t>
  </si>
  <si>
    <t>FARMACIA</t>
  </si>
  <si>
    <t>PILATES</t>
  </si>
  <si>
    <t>PLANO DE SAUDE</t>
  </si>
  <si>
    <t>PSICOLOGO</t>
  </si>
  <si>
    <t>SHOPPING</t>
  </si>
  <si>
    <t>ELETRONICOS</t>
  </si>
  <si>
    <t>PRESENTES</t>
  </si>
  <si>
    <t>TRANSPORTE</t>
  </si>
  <si>
    <t>ESTACIONAMENTO</t>
  </si>
  <si>
    <t>PEDAGIO</t>
  </si>
  <si>
    <t>SEGURO AUTO</t>
  </si>
  <si>
    <t>CATEGORIA</t>
  </si>
  <si>
    <t>SERVICO</t>
  </si>
  <si>
    <t>DESCRICAO</t>
  </si>
  <si>
    <t>IOF</t>
  </si>
  <si>
    <t>PLR</t>
  </si>
  <si>
    <t>IPVA</t>
  </si>
  <si>
    <t>OUTROS</t>
  </si>
  <si>
    <t>CREDITOS DE API</t>
  </si>
  <si>
    <t>SERVIDOR CLOUD</t>
  </si>
  <si>
    <t>BAR</t>
  </si>
  <si>
    <t>CAFETERIA</t>
  </si>
  <si>
    <t>CONVENIENCIA</t>
  </si>
  <si>
    <t>DELIVERY APP</t>
  </si>
  <si>
    <t>FAST FOOD</t>
  </si>
  <si>
    <t>FEIRA LIVRE</t>
  </si>
  <si>
    <t>HORTIFRUTI</t>
  </si>
  <si>
    <t>PADARIA</t>
  </si>
  <si>
    <t>SORVETERIA</t>
  </si>
  <si>
    <t>AMAZON PRIME</t>
  </si>
  <si>
    <t>DISNEY PLUS</t>
  </si>
  <si>
    <t>GLOBOPLAY</t>
  </si>
  <si>
    <t>GOOGLE ONE</t>
  </si>
  <si>
    <t>JORNAL DIGITAL</t>
  </si>
  <si>
    <t>MICROSOFT 365</t>
  </si>
  <si>
    <t>PARAMOUNT</t>
  </si>
  <si>
    <t>MASSAGEM</t>
  </si>
  <si>
    <t>PEDICURE</t>
  </si>
  <si>
    <t>PERFUMARIA</t>
  </si>
  <si>
    <t>CELULAR CONTROLE</t>
  </si>
  <si>
    <t>CELULAR PRE-PAGO</t>
  </si>
  <si>
    <t>TV A CABO</t>
  </si>
  <si>
    <t>CURSOS ONLINE</t>
  </si>
  <si>
    <t>LIVROS TECNICOS</t>
  </si>
  <si>
    <t>MATERIAL DE PAPELARIA</t>
  </si>
  <si>
    <t>MENTORIA</t>
  </si>
  <si>
    <t>WORKSHOPS</t>
  </si>
  <si>
    <t>JUROS DE CHEQUE ESPECIAL</t>
  </si>
  <si>
    <t>MULTAS POR ATRASO</t>
  </si>
  <si>
    <t>PAGAMENTO DE FATURA</t>
  </si>
  <si>
    <t>REEMBOLSO A TERCEIROS</t>
  </si>
  <si>
    <t>SEGURO DE VIDA</t>
  </si>
  <si>
    <t>TARIFA BANCARIA</t>
  </si>
  <si>
    <t>BALADA</t>
  </si>
  <si>
    <t>CLUBE</t>
  </si>
  <si>
    <t>JOGOS DIGITAIS</t>
  </si>
  <si>
    <t>MUSEU</t>
  </si>
  <si>
    <t>PARQUE</t>
  </si>
  <si>
    <t>SHOWS</t>
  </si>
  <si>
    <t>TEATRO</t>
  </si>
  <si>
    <t>VIAGEM HOSPEDAGEM</t>
  </si>
  <si>
    <t>VIAGEM PASSAGEM AEREA</t>
  </si>
  <si>
    <t>VIAGEM PASSEIOS</t>
  </si>
  <si>
    <t>AGUA E ESGOTO</t>
  </si>
  <si>
    <t>ARTIGOS PARA CASA</t>
  </si>
  <si>
    <t>CHAVEIRO</t>
  </si>
  <si>
    <t>DIARISTA</t>
  </si>
  <si>
    <t>GAS ENCANADO</t>
  </si>
  <si>
    <t>JARDINAGEM</t>
  </si>
  <si>
    <t>LAVANDERIA</t>
  </si>
  <si>
    <t>MARCENEIRO</t>
  </si>
  <si>
    <t>MOVEIS</t>
  </si>
  <si>
    <t>REFORMA</t>
  </si>
  <si>
    <t>SEGURO INCENDIO</t>
  </si>
  <si>
    <t>ADESTRAMENTO</t>
  </si>
  <si>
    <t>BANHO</t>
  </si>
  <si>
    <t>HOTEL PARA PETS</t>
  </si>
  <si>
    <t>MEDICAMENTOS PET</t>
  </si>
  <si>
    <t>PASSEADOR</t>
  </si>
  <si>
    <t>TOSA</t>
  </si>
  <si>
    <t>ALUGUEL RECEBIDO</t>
  </si>
  <si>
    <t>PRESENTE EM DINHEIRO</t>
  </si>
  <si>
    <t>REEMBOLSO RECEBIDO</t>
  </si>
  <si>
    <t>CROSSFIT</t>
  </si>
  <si>
    <t>EXAMES</t>
  </si>
  <si>
    <t>FISIOTERAPIA</t>
  </si>
  <si>
    <t>FONOAUDIOLOGO</t>
  </si>
  <si>
    <t>HOSPITAL</t>
  </si>
  <si>
    <t>LABORATORIO</t>
  </si>
  <si>
    <t>MEDICO ESPECIALISTA</t>
  </si>
  <si>
    <t>NUTRICIONISTA</t>
  </si>
  <si>
    <t>PERSONAL TRAINER</t>
  </si>
  <si>
    <t>PSIQUIATRA</t>
  </si>
  <si>
    <t>SUPLEMENTOS</t>
  </si>
  <si>
    <t>TERAPIA ALTERNATIVA</t>
  </si>
  <si>
    <t>VACINAS</t>
  </si>
  <si>
    <t>ACESSORIOS</t>
  </si>
  <si>
    <t>CALCADOS</t>
  </si>
  <si>
    <t>ALUGUEL DE CARRO</t>
  </si>
  <si>
    <t>LAVAGEM AUTOMOTIVA</t>
  </si>
  <si>
    <t>LICENCIAMENTO</t>
  </si>
  <si>
    <t>MECANICA</t>
  </si>
  <si>
    <t>METRO</t>
  </si>
  <si>
    <t>MULTA DE TRANSITO</t>
  </si>
  <si>
    <t>ONIBUS</t>
  </si>
  <si>
    <t>TAXI</t>
  </si>
  <si>
    <t>TRANSPORTE POR APP</t>
  </si>
  <si>
    <t>CARTORIO</t>
  </si>
  <si>
    <t>IMPOSTO DE RENDA A PAGAR</t>
  </si>
  <si>
    <t>SAQUE EM ESPECIE</t>
  </si>
  <si>
    <t>DEBITO AUTOMATICO</t>
  </si>
  <si>
    <t>VALE BENEFICIO</t>
  </si>
  <si>
    <t>CHATGPT</t>
  </si>
  <si>
    <t>CLAUDE</t>
  </si>
  <si>
    <t>COPILOT</t>
  </si>
  <si>
    <t>CURSOR</t>
  </si>
  <si>
    <t>DEEPSEEK</t>
  </si>
  <si>
    <t>GEMINI</t>
  </si>
  <si>
    <t>GROK</t>
  </si>
  <si>
    <t>MIDJOURNEY</t>
  </si>
  <si>
    <t>WINDSURF</t>
  </si>
  <si>
    <t>VALOR</t>
  </si>
  <si>
    <t>ATIVO</t>
  </si>
  <si>
    <t>FATURA A PAGAR</t>
  </si>
  <si>
    <t>DEBITO EM CONTA</t>
  </si>
  <si>
    <t>DEPOSITO</t>
  </si>
  <si>
    <t>BOLETO</t>
  </si>
  <si>
    <t>ROUPAS</t>
  </si>
  <si>
    <t>DATA_EFETIVA</t>
  </si>
  <si>
    <t>PAGO</t>
  </si>
  <si>
    <t>ASSINATURA</t>
  </si>
  <si>
    <t>INATIVO</t>
  </si>
  <si>
    <t>ACOUGUE</t>
  </si>
  <si>
    <t>SOFTWARE LICENCA</t>
  </si>
  <si>
    <t>COSMETICOS</t>
  </si>
  <si>
    <t>DEPILACAO</t>
  </si>
  <si>
    <t>ESTETICA</t>
  </si>
  <si>
    <t>POS-GRADUACAO</t>
  </si>
  <si>
    <t>EMPRESTIMO</t>
  </si>
  <si>
    <t>TAXA DE CARTAO</t>
  </si>
  <si>
    <t>DECORACAO</t>
  </si>
  <si>
    <t>DEDETIZACAO</t>
  </si>
  <si>
    <t>MANUTENCAO GERAL</t>
  </si>
  <si>
    <t>SEGURANCA MONITORADA</t>
  </si>
  <si>
    <t>DOACOES</t>
  </si>
  <si>
    <t>RACAO</t>
  </si>
  <si>
    <t>13º SALARIO</t>
  </si>
  <si>
    <t>COMISSAO</t>
  </si>
  <si>
    <t>RESTITUICAO IR</t>
  </si>
  <si>
    <t>SALARIO</t>
  </si>
  <si>
    <t>COMBUSTIVEL</t>
  </si>
  <si>
    <t>BELEZA_PESSOAL</t>
  </si>
  <si>
    <t>STATUS</t>
  </si>
  <si>
    <t>CATEGORIA_LANCAMENTO</t>
  </si>
  <si>
    <t>DIA_FECH</t>
  </si>
  <si>
    <t>DIA_VENC</t>
  </si>
  <si>
    <t>DECISAO</t>
  </si>
  <si>
    <t>DATA_DECISAO</t>
  </si>
  <si>
    <t>N_PARCELAS</t>
  </si>
  <si>
    <t>PARCELA_ATUAL</t>
  </si>
  <si>
    <t>PROJEÇÃO DE LANCAMENTOS FIXOS</t>
  </si>
  <si>
    <t>CLUBE IFOOD</t>
  </si>
  <si>
    <t>PENDENTE</t>
  </si>
  <si>
    <t>SERGIO</t>
  </si>
  <si>
    <t>VICTOR</t>
  </si>
  <si>
    <t>LANÇAMENTOS FIXOS</t>
  </si>
  <si>
    <t>LANÇAMENTOS EVENTUAIS</t>
  </si>
  <si>
    <t>BENEFICIOS TRABALHISTAS</t>
  </si>
  <si>
    <t>DAS MEI</t>
  </si>
  <si>
    <t>POWER BI</t>
  </si>
  <si>
    <t>FERRAMENTAS</t>
  </si>
  <si>
    <t>SAIDA</t>
  </si>
  <si>
    <t>ENTRADA</t>
  </si>
  <si>
    <t>SHOPEE</t>
  </si>
  <si>
    <t>AMAZON</t>
  </si>
  <si>
    <t>MERCADO LIVRE</t>
  </si>
  <si>
    <t>PETISCOS</t>
  </si>
  <si>
    <t>EMITIDO</t>
  </si>
  <si>
    <t>STATUS_GENERICO</t>
  </si>
  <si>
    <t>TIPO_LANCAMENTO</t>
  </si>
  <si>
    <t>TIPO</t>
  </si>
  <si>
    <t>ATRASADO</t>
  </si>
  <si>
    <t>BASE DE SERVIÇOS POR CATEGORIA</t>
  </si>
  <si>
    <t>BASE DO SISTEMA  [!]ÁREA CRÍTICA (CUIDADO)</t>
  </si>
  <si>
    <t>PLAY STORE</t>
  </si>
  <si>
    <t>GASTOS VARIADOS</t>
  </si>
  <si>
    <t>GIOVANNA</t>
  </si>
  <si>
    <t>DISCORD NITRO</t>
  </si>
  <si>
    <t>RECARGA BILHETE UNICO</t>
  </si>
  <si>
    <t>CARTAO</t>
  </si>
  <si>
    <t>ID_PARCELAMENTO</t>
  </si>
  <si>
    <t>CARTOES DE CREDITO</t>
  </si>
  <si>
    <t>CARTAO_CREDITO</t>
  </si>
  <si>
    <t>STATUS_PAGAMENTO</t>
  </si>
  <si>
    <t>NOME</t>
  </si>
  <si>
    <t>1/2</t>
  </si>
  <si>
    <t>2/2</t>
  </si>
  <si>
    <t>FREQUENCIA</t>
  </si>
  <si>
    <t>SEMANAL</t>
  </si>
  <si>
    <t>QUINZENAL</t>
  </si>
  <si>
    <t>MENSAL</t>
  </si>
  <si>
    <t>BIMESTRAL</t>
  </si>
  <si>
    <t>TRIMESTRAL</t>
  </si>
  <si>
    <t>SEMESTRAL</t>
  </si>
  <si>
    <t>ANUAL</t>
  </si>
  <si>
    <t>CHAVE</t>
  </si>
  <si>
    <t>DATA_PROJETADA</t>
  </si>
  <si>
    <t>KDPLAY</t>
  </si>
  <si>
    <t>REMEDIO</t>
  </si>
  <si>
    <t>UPGRADE NOTEBOOK</t>
  </si>
  <si>
    <t>BOTOES</t>
  </si>
  <si>
    <t>REEMBOLSO</t>
  </si>
  <si>
    <t>LICENCA DIGITAL</t>
  </si>
  <si>
    <t>LUIS</t>
  </si>
  <si>
    <t>DAYANE</t>
  </si>
  <si>
    <t>Nubank Roxinho</t>
  </si>
  <si>
    <t>Inter Black</t>
  </si>
  <si>
    <t>XP Visa</t>
  </si>
  <si>
    <t>Assinatura mensal Netflix</t>
  </si>
  <si>
    <t>Assinatura mensal Spotify</t>
  </si>
  <si>
    <t>Assinatura mensal Amazon Prime</t>
  </si>
  <si>
    <t>Assinatura mensal ChatGPT Plus</t>
  </si>
  <si>
    <t>Assinatura mensal Claude Pro</t>
  </si>
  <si>
    <t>Internet fibra 500MB</t>
  </si>
  <si>
    <t>Plano celular controle</t>
  </si>
  <si>
    <t>Assinatura YouTube Premium</t>
  </si>
  <si>
    <t>Taxa de condomínio</t>
  </si>
  <si>
    <t>Monitoramento residencial</t>
  </si>
  <si>
    <t>Mensalidade faculdade</t>
  </si>
  <si>
    <t>Salário mensal</t>
  </si>
  <si>
    <t>Reembolso assinatura YouTube compartilhada</t>
  </si>
  <si>
    <t>Reembolso assinatura compartilhada Nov</t>
  </si>
  <si>
    <t>Assinatura mensal YouTube Premium</t>
  </si>
  <si>
    <t>Jantar aniversário colega</t>
  </si>
  <si>
    <t>Compras supermercado março</t>
  </si>
  <si>
    <t>Corridas app março</t>
  </si>
  <si>
    <t>Abastecimento semana</t>
  </si>
  <si>
    <t>Compras supermercado abril</t>
  </si>
  <si>
    <t>Corridas app abril</t>
  </si>
  <si>
    <t>Notebook novo parcelado</t>
  </si>
  <si>
    <t>Recarga bilhete maio</t>
  </si>
  <si>
    <t>Despesas avulsas maio</t>
  </si>
  <si>
    <t>Roupas verão shopping</t>
  </si>
  <si>
    <t>Compras supermercado agosto</t>
  </si>
  <si>
    <t>Lanche semana agosto</t>
  </si>
  <si>
    <t>Delivery fim de semana</t>
  </si>
  <si>
    <t>Almoço de domingo</t>
  </si>
  <si>
    <t>Corridas agosto</t>
  </si>
  <si>
    <t>Recarga bilhete agosto</t>
  </si>
  <si>
    <t>Compra Amazon agosto</t>
  </si>
  <si>
    <t>SSD externo 1TB parcelado</t>
  </si>
  <si>
    <t>Guarda-roupa inverno</t>
  </si>
  <si>
    <t>Perfume importado</t>
  </si>
  <si>
    <t>Vacina anual pet</t>
  </si>
  <si>
    <t>Remédios mês agosto</t>
  </si>
  <si>
    <t>Despesas avulsas agosto</t>
  </si>
  <si>
    <t>Estorno compra eletrônico</t>
  </si>
  <si>
    <t>Compras supermercado setembro</t>
  </si>
  <si>
    <t>Lanche rápido trabalho</t>
  </si>
  <si>
    <t>Pedido delivery noite</t>
  </si>
  <si>
    <t>Jantar aniversário</t>
  </si>
  <si>
    <t>Pão e salgados</t>
  </si>
  <si>
    <t>Corridas app setembro</t>
  </si>
  <si>
    <t>Recarga bilhete setembro</t>
  </si>
  <si>
    <t>Compras casa Amazon</t>
  </si>
  <si>
    <t>Artigo escritório Shopee</t>
  </si>
  <si>
    <t>Corte cabelo masculino</t>
  </si>
  <si>
    <t>Remédio veterinário</t>
  </si>
  <si>
    <t>Check-up anual</t>
  </si>
  <si>
    <t>Despesas avulsas setembro</t>
  </si>
  <si>
    <t>Compras supermercado outubro</t>
  </si>
  <si>
    <t>Lanche rápido outubro</t>
  </si>
  <si>
    <t>Delivery fim de semana out</t>
  </si>
  <si>
    <t>Hortifruti semana</t>
  </si>
  <si>
    <t>Almoço executivo outubro</t>
  </si>
  <si>
    <t>Corridas app outubro</t>
  </si>
  <si>
    <t>Recarga bilhete outubro</t>
  </si>
  <si>
    <t>Abastecimento semana out</t>
  </si>
  <si>
    <t>Roupas outono compra</t>
  </si>
  <si>
    <t>Produto casa ML outubro</t>
  </si>
  <si>
    <t>Tingimento cabelo</t>
  </si>
  <si>
    <t>Ração pet outubro</t>
  </si>
  <si>
    <t>Despesas avulsas outubro</t>
  </si>
  <si>
    <t>Compras supermercado novembro</t>
  </si>
  <si>
    <t>Jantar quinzenal</t>
  </si>
  <si>
    <t>Delivery tranquilo novembro</t>
  </si>
  <si>
    <t>Café e lanche</t>
  </si>
  <si>
    <t>Corridas app novembro</t>
  </si>
  <si>
    <t>Recarga bilhete novembro</t>
  </si>
  <si>
    <t>Compra Black Friday Amazon</t>
  </si>
  <si>
    <t>Roupas Black Friday</t>
  </si>
  <si>
    <t>Manicure novembro</t>
  </si>
  <si>
    <t>Ração pet novembro</t>
  </si>
  <si>
    <t>Despesas avulsas novembro</t>
  </si>
  <si>
    <t>Ceia e compras natal</t>
  </si>
  <si>
    <t>Ceia de natal restaurante</t>
  </si>
  <si>
    <t>Pedidos festas dezembro</t>
  </si>
  <si>
    <t>Lanche virada do ano</t>
  </si>
  <si>
    <t>Corridas festas dezembro</t>
  </si>
  <si>
    <t>Combustível viagem natal</t>
  </si>
  <si>
    <t>Presentes de natal family</t>
  </si>
  <si>
    <t>Roupa reveillón</t>
  </si>
  <si>
    <t>Smart TV natal parcelada</t>
  </si>
  <si>
    <t>Escova para festa natal</t>
  </si>
  <si>
    <t>Hotel pet viagem natal</t>
  </si>
  <si>
    <t>Despesas festas dezembro</t>
  </si>
  <si>
    <t>Estorno promoção natal loja</t>
  </si>
  <si>
    <t>Compras supermercado janeiro</t>
  </si>
  <si>
    <t>Lanche volta ao trabalho</t>
  </si>
  <si>
    <t>Delivery semana</t>
  </si>
  <si>
    <t>IPVA carro anuidade</t>
  </si>
  <si>
    <t>Corridas app janeiro</t>
  </si>
  <si>
    <t>Material escolar início ano</t>
  </si>
  <si>
    <t>Organização ano novo</t>
  </si>
  <si>
    <t>Roupas volta trabalho</t>
  </si>
  <si>
    <t>Controle gamer parcelado</t>
  </si>
  <si>
    <t>Manicure pós férias</t>
  </si>
  <si>
    <t>Ração pet janeiro</t>
  </si>
  <si>
    <t>Remédios início ano</t>
  </si>
  <si>
    <t>Despesas avulsas janeiro</t>
  </si>
  <si>
    <t>Compras supermercado fevereiro</t>
  </si>
  <si>
    <t>Lanche carnaval</t>
  </si>
  <si>
    <t>Delivery carnaval</t>
  </si>
  <si>
    <t>Jantar dia dos namorados</t>
  </si>
  <si>
    <t>Frutas e legumes fev</t>
  </si>
  <si>
    <t>Corridas app fevereiro</t>
  </si>
  <si>
    <t>Recarga bilhete fevereiro</t>
  </si>
  <si>
    <t>Produto Amazon fevereiro</t>
  </si>
  <si>
    <t>Artigos domésticos</t>
  </si>
  <si>
    <t>Sandalia e sapatilha</t>
  </si>
  <si>
    <t>Skincare fevereiro</t>
  </si>
  <si>
    <t>Banho e tosa fevereiro</t>
  </si>
  <si>
    <t>Consulta especialista</t>
  </si>
  <si>
    <t>Despesas avulsas fevereiro</t>
  </si>
  <si>
    <t>Lanche semana</t>
  </si>
  <si>
    <t>Delivery semana março</t>
  </si>
  <si>
    <t>Recarga bilhete março</t>
  </si>
  <si>
    <t>Renovação curso anual</t>
  </si>
  <si>
    <t>Compra Amazon março</t>
  </si>
  <si>
    <t>Roupas outono/inverno</t>
  </si>
  <si>
    <t>Mousepad e webcam</t>
  </si>
  <si>
    <t>Corte e hidratação</t>
  </si>
  <si>
    <t>Consulta veterinária</t>
  </si>
  <si>
    <t>Despesas avulsas março</t>
  </si>
  <si>
    <t>Lanche rápido abril</t>
  </si>
  <si>
    <t>Delivery semana abril</t>
  </si>
  <si>
    <t>Jantar páscoa</t>
  </si>
  <si>
    <t>Pão e chocolates páscoa</t>
  </si>
  <si>
    <t>Recarga bilhete abril</t>
  </si>
  <si>
    <t>Compra Amazon abril</t>
  </si>
  <si>
    <t>Blusa e saia páscoa</t>
  </si>
  <si>
    <t>Smartwatch parcelado</t>
  </si>
  <si>
    <t>Manicure abril</t>
  </si>
  <si>
    <t>Ração pet abril</t>
  </si>
  <si>
    <t>Remédios abril</t>
  </si>
  <si>
    <t>Despesas avulsas abril</t>
  </si>
  <si>
    <t>Estorno compra site</t>
  </si>
  <si>
    <t>Compras supermercado mai</t>
  </si>
  <si>
    <t>Lanche semana maio</t>
  </si>
  <si>
    <t>Delivery fim semana</t>
  </si>
  <si>
    <t>Jantar dia das mães 2026</t>
  </si>
  <si>
    <t>Café da manhã</t>
  </si>
  <si>
    <t>Frutas e verduras</t>
  </si>
  <si>
    <t>Corridas app semana</t>
  </si>
  <si>
    <t>Compra Amazon maio</t>
  </si>
  <si>
    <t>Roupas inverno 2026</t>
  </si>
  <si>
    <t>Artigos casa Shopee</t>
  </si>
  <si>
    <t>Teclado mecânico parcelado</t>
  </si>
  <si>
    <t>Skincare maio</t>
  </si>
  <si>
    <t>Ração pet maio</t>
  </si>
  <si>
    <t>Consulta médico maio</t>
  </si>
  <si>
    <t>Doação instituição maio</t>
  </si>
  <si>
    <t>Reembolso despesa trabalho</t>
  </si>
  <si>
    <t>GIOVANNA|SALARIO|5.200,00|ENTRADA</t>
  </si>
  <si>
    <t>NAO</t>
  </si>
  <si>
    <t>GIOVANNA|SALARIO|5.500,00|ENTRADA</t>
  </si>
  <si>
    <t>GIOVANNA|SALARIO|6.000,00|ENTRADA</t>
  </si>
  <si>
    <t>LUIS|REEMBOLSO RECEBIDO|55,90|ENTRADA</t>
  </si>
  <si>
    <t>DAYANE|REEMBOLSO RECEBIDO|27,90|ENTRADA</t>
  </si>
  <si>
    <t>GIOVANNA|SALARIO|6.200,00|ENTRADA</t>
  </si>
  <si>
    <t>VICTOR|REEMBOLSO RECEBIDO|55,90|ENTRADA</t>
  </si>
  <si>
    <t>GIOVANNA|SALARIO|6.700,00|ENTRADA</t>
  </si>
  <si>
    <t>1/4</t>
  </si>
  <si>
    <t>2/4</t>
  </si>
  <si>
    <t>3/4</t>
  </si>
  <si>
    <t>4/4</t>
  </si>
  <si>
    <t>1/3</t>
  </si>
  <si>
    <t>2/3</t>
  </si>
  <si>
    <t>3/3</t>
  </si>
  <si>
    <t>86F684C72B3D47AB9C66ED8A67E3A4EF</t>
  </si>
  <si>
    <t>1/6</t>
  </si>
  <si>
    <t>2/6</t>
  </si>
  <si>
    <t>3/6</t>
  </si>
  <si>
    <t>4/6</t>
  </si>
  <si>
    <t>5/6</t>
  </si>
  <si>
    <t>6/6</t>
  </si>
  <si>
    <t>CCC41AD76C1D43FCB6BF2F07E7EF6006</t>
  </si>
  <si>
    <t>7D83D8C2242C4E55BA11A30F696A12EB</t>
  </si>
  <si>
    <t>1/5</t>
  </si>
  <si>
    <t>2/5</t>
  </si>
  <si>
    <t>3/5</t>
  </si>
  <si>
    <t>4/5</t>
  </si>
  <si>
    <t>5/5</t>
  </si>
  <si>
    <t>B842DD0499CB4AC0A88110CB5878C56A</t>
  </si>
  <si>
    <t>F39E2A49F2A24868A47845535FF68094</t>
  </si>
  <si>
    <t>925B44BEE8374CB98AFDC97ADB7D578D</t>
  </si>
  <si>
    <t>F6447A5B760D475AA23595BAF51716A6</t>
  </si>
  <si>
    <t>E1B04124B080487A854E038BCE888DFD</t>
  </si>
  <si>
    <t>9D32D2CA6875409097341F8FB36F208A</t>
  </si>
  <si>
    <t>B4FE1F50D08B4917B3EBA6D9F16720E8</t>
  </si>
  <si>
    <t>FEC0D337E5904BDBA2D1FC9EA3301A7C</t>
  </si>
  <si>
    <t>0F9B7269E3CD4A20ACC6244B4FAC205D</t>
  </si>
  <si>
    <t>17E40830D0E74B99A82E0F11DAE27A23</t>
  </si>
  <si>
    <t>9905E273FD904D80A48932D89DC8287E</t>
  </si>
  <si>
    <t>882F5AF648DA4F87B5E9BBDF00206246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</si>
</sst>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7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29693B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2D343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DE7"/>
        <bgColor indexed="64"/>
      </patternFill>
    </fill>
    <fill>
      <patternFill patternType="solid">
        <fgColor rgb="FFFFECF2"/>
        <bgColor indexed="64"/>
      </patternFill>
    </fill>
    <fill>
      <patternFill patternType="solid">
        <fgColor rgb="FFE0F7FA"/>
        <bgColor indexed="64"/>
      </patternFill>
    </fill>
    <fill>
      <patternFill patternType="solid">
        <fgColor rgb="FFE8F5E9"/>
        <bgColor indexed="64"/>
      </patternFill>
    </fill>
    <fill>
      <patternFill patternType="solid">
        <fgColor rgb="FFFFF3E0"/>
        <bgColor indexed="64"/>
      </patternFill>
    </fill>
    <fill>
      <patternFill patternType="solid">
        <fgColor rgb="FFE3F2FD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EFEBE9"/>
        <bgColor indexed="64"/>
      </patternFill>
    </fill>
    <fill>
      <patternFill patternType="solid">
        <fgColor rgb="FFFFEBEE"/>
        <bgColor indexed="64"/>
      </patternFill>
    </fill>
    <fill>
      <patternFill patternType="solid">
        <fgColor rgb="FFF4EAFF"/>
        <bgColor indexed="64"/>
      </patternFill>
    </fill>
    <fill>
      <patternFill patternType="solid">
        <fgColor rgb="FFFFE5D9"/>
        <bgColor indexed="64"/>
      </patternFill>
    </fill>
    <fill>
      <patternFill patternType="solid">
        <fgColor rgb="FFD8F3DC"/>
        <bgColor indexed="64"/>
      </patternFill>
    </fill>
    <fill>
      <patternFill patternType="solid">
        <fgColor rgb="FFF7C4BF"/>
        <bgColor indexed="64"/>
      </patternFill>
    </fill>
  </fills>
  <borders count="9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84">
    <xf numFmtId="0" fontId="0" fillId="0" borderId="0" xfId="0"/>
    <xf numFmtId="164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3" xfId="0" applyBorder="1"/>
    <xf numFmtId="0" fontId="4" fillId="0" borderId="0" xfId="0" applyFont="1"/>
    <xf numFmtId="1" fontId="0" fillId="0" borderId="3" xfId="0" applyNumberForma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0" fillId="0" borderId="0" xfId="0" applyAlignment="1">
      <alignment horizontal="left"/>
    </xf>
    <xf numFmtId="1" fontId="4" fillId="0" borderId="0" xfId="0" applyNumberFormat="1" applyFont="1" applyAlignment="1">
      <alignment horizontal="center"/>
    </xf>
    <xf numFmtId="0" fontId="3" fillId="8" borderId="0" xfId="0" applyFont="1" applyFill="1" applyAlignment="1" applyProtection="1">
      <alignment vertical="center"/>
      <protection locked="0"/>
    </xf>
    <xf numFmtId="0" fontId="3" fillId="8" borderId="0" xfId="0" applyFont="1" applyFill="1" applyAlignment="1">
      <alignment vertical="center"/>
    </xf>
    <xf numFmtId="14" fontId="0" fillId="0" borderId="0" xfId="0" applyNumberFormat="1" applyAlignment="1" applyProtection="1">
      <alignment horizont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1" fontId="4" fillId="0" borderId="3" xfId="0" applyNumberFormat="1" applyFont="1" applyBorder="1" applyAlignment="1">
      <alignment horizontal="center" vertical="center"/>
    </xf>
    <xf numFmtId="0" fontId="0" fillId="0" borderId="0" xfId="0" applyAlignment="1">
      <alignment horizontal="fill"/>
    </xf>
    <xf numFmtId="0" fontId="3" fillId="2" borderId="0" xfId="0" applyFont="1" applyFill="1"/>
    <xf numFmtId="0" fontId="0" fillId="2" borderId="0" xfId="0" applyFill="1"/>
    <xf numFmtId="0" fontId="5" fillId="11" borderId="0" xfId="0" applyFont="1" applyFill="1"/>
    <xf numFmtId="0" fontId="5" fillId="11" borderId="4" xfId="0" applyFont="1" applyFill="1" applyBorder="1"/>
    <xf numFmtId="0" fontId="5" fillId="11" borderId="2" xfId="0" applyFont="1" applyFill="1" applyBorder="1"/>
    <xf numFmtId="0" fontId="5" fillId="11" borderId="0" xfId="0" applyFont="1" applyFill="1" applyAlignment="1">
      <alignment horizontal="left" vertical="top"/>
    </xf>
    <xf numFmtId="1" fontId="4" fillId="5" borderId="0" xfId="0" applyNumberFormat="1" applyFont="1" applyFill="1" applyAlignment="1">
      <alignment horizontal="left"/>
    </xf>
    <xf numFmtId="0" fontId="3" fillId="12" borderId="0" xfId="0" applyFont="1" applyFill="1"/>
    <xf numFmtId="0" fontId="5" fillId="12" borderId="0" xfId="0" applyFont="1" applyFill="1"/>
    <xf numFmtId="0" fontId="5" fillId="3" borderId="0" xfId="0" applyFont="1" applyFill="1"/>
    <xf numFmtId="0" fontId="5" fillId="4" borderId="0" xfId="0" applyFont="1" applyFill="1"/>
    <xf numFmtId="0" fontId="3" fillId="6" borderId="0" xfId="0" applyFont="1" applyFill="1" applyAlignment="1">
      <alignment horizontal="left" vertical="center" wrapText="1"/>
    </xf>
    <xf numFmtId="0" fontId="5" fillId="6" borderId="0" xfId="0" applyFont="1" applyFill="1"/>
    <xf numFmtId="0" fontId="5" fillId="9" borderId="0" xfId="0" applyFont="1" applyFill="1"/>
    <xf numFmtId="0" fontId="5" fillId="10" borderId="0" xfId="0" applyFont="1" applyFill="1"/>
    <xf numFmtId="0" fontId="4" fillId="0" borderId="0" xfId="0" applyFont="1" applyAlignment="1">
      <alignment horizontal="center"/>
    </xf>
    <xf numFmtId="49" fontId="4" fillId="0" borderId="1" xfId="0" applyNumberFormat="1" applyFont="1" applyBorder="1" applyAlignment="1">
      <alignment horizontal="center" vertical="center"/>
    </xf>
    <xf numFmtId="1" fontId="4" fillId="0" borderId="7" xfId="0" applyNumberFormat="1" applyFont="1" applyBorder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0" fontId="4" fillId="6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14" fontId="4" fillId="6" borderId="0" xfId="0" applyNumberFormat="1" applyFont="1" applyFill="1" applyAlignment="1">
      <alignment horizontal="center" vertical="center"/>
    </xf>
    <xf numFmtId="14" fontId="5" fillId="6" borderId="0" xfId="0" applyNumberFormat="1" applyFont="1" applyFill="1" applyAlignment="1">
      <alignment horizontal="center" vertical="center"/>
    </xf>
    <xf numFmtId="49" fontId="4" fillId="0" borderId="6" xfId="0" applyNumberFormat="1" applyFont="1" applyBorder="1" applyAlignment="1">
      <alignment horizontal="center" vertical="center"/>
    </xf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0" borderId="3" xfId="0" applyBorder="1" applyAlignment="1" applyProtection="1">
      <alignment horizontal="left" vertical="center"/>
      <protection locked="0"/>
    </xf>
    <xf numFmtId="164" fontId="0" fillId="0" borderId="3" xfId="0" applyNumberFormat="1" applyBorder="1" applyAlignment="1" applyProtection="1">
      <alignment horizontal="right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14" fontId="0" fillId="0" borderId="3" xfId="0" applyNumberFormat="1" applyBorder="1" applyAlignment="1" applyProtection="1">
      <alignment horizontal="center" vertical="center"/>
      <protection locked="0"/>
    </xf>
    <xf numFmtId="0" fontId="0" fillId="0" borderId="7" xfId="0" applyBorder="1"/>
    <xf numFmtId="1" fontId="0" fillId="0" borderId="7" xfId="0" applyNumberForma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0" fillId="0" borderId="7" xfId="0" applyBorder="1" applyAlignment="1" applyProtection="1">
      <alignment horizontal="left" vertical="center"/>
      <protection locked="0"/>
    </xf>
    <xf numFmtId="164" fontId="0" fillId="0" borderId="7" xfId="0" applyNumberFormat="1" applyBorder="1" applyAlignment="1" applyProtection="1">
      <alignment horizontal="right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14" fontId="1" fillId="0" borderId="8" xfId="0" applyNumberFormat="1" applyFont="1" applyBorder="1" applyAlignment="1" applyProtection="1">
      <alignment horizontal="left" vertical="center"/>
      <protection locked="0"/>
    </xf>
    <xf numFmtId="1" fontId="0" fillId="0" borderId="6" xfId="0" applyNumberFormat="1" applyBorder="1" applyAlignment="1" applyProtection="1">
      <alignment horizontal="center" vertical="center"/>
      <protection locked="0"/>
    </xf>
    <xf numFmtId="14" fontId="0" fillId="0" borderId="7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/>
      <protection locked="0"/>
    </xf>
    <xf numFmtId="0" fontId="4" fillId="0" borderId="1" xfId="0" applyFont="1" applyBorder="1" applyAlignment="1">
      <alignment horizontal="center" vertical="center"/>
    </xf>
    <xf numFmtId="0" fontId="0" fillId="0" borderId="3" xfId="0" applyBorder="1" applyAlignment="1">
      <alignment horizontal="fill" vertical="center"/>
    </xf>
    <xf numFmtId="0" fontId="0" fillId="0" borderId="3" xfId="0" applyBorder="1" applyAlignment="1">
      <alignment horizontal="center" vertical="center"/>
    </xf>
    <xf numFmtId="0" fontId="0" fillId="0" borderId="6" xfId="0" applyBorder="1" applyAlignment="1" applyProtection="1">
      <alignment horizontal="left" vertical="center"/>
      <protection locked="0"/>
    </xf>
    <xf numFmtId="0" fontId="4" fillId="0" borderId="6" xfId="0" applyFont="1" applyBorder="1" applyAlignment="1">
      <alignment horizontal="center" vertical="center"/>
    </xf>
    <xf numFmtId="0" fontId="0" fillId="0" borderId="7" xfId="0" applyBorder="1" applyAlignment="1">
      <alignment horizontal="fill" vertical="center"/>
    </xf>
    <xf numFmtId="0" fontId="0" fillId="0" borderId="7" xfId="0" applyBorder="1" applyAlignment="1">
      <alignment horizontal="center" vertical="center"/>
    </xf>
    <xf numFmtId="0" fontId="4" fillId="5" borderId="0" xfId="0" applyFont="1" applyFill="1" applyAlignment="1">
      <alignment vertical="center"/>
    </xf>
    <xf numFmtId="1" fontId="4" fillId="0" borderId="3" xfId="0" applyNumberFormat="1" applyFont="1" applyBorder="1" applyAlignment="1" applyProtection="1">
      <alignment vertical="center"/>
      <protection locked="0"/>
    </xf>
    <xf numFmtId="1" fontId="4" fillId="0" borderId="7" xfId="0" applyNumberFormat="1" applyFont="1" applyBorder="1" applyAlignment="1" applyProtection="1">
      <alignment vertical="center"/>
      <protection locked="0"/>
    </xf>
    <xf numFmtId="0" fontId="4" fillId="0" borderId="0" xfId="0" applyFont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/>
    </xf>
    <xf numFmtId="1" fontId="4" fillId="0" borderId="8" xfId="0" applyNumberFormat="1" applyFont="1" applyBorder="1" applyAlignment="1" applyProtection="1">
      <alignment vertical="center"/>
      <protection locked="0"/>
    </xf>
    <xf numFmtId="1" fontId="4" fillId="0" borderId="0" xfId="0" applyNumberFormat="1" applyFont="1" applyProtection="1">
      <protection locked="0"/>
    </xf>
    <xf numFmtId="11" fontId="0" fillId="0" borderId="3" xfId="0" applyNumberFormat="1" applyBorder="1" applyAlignment="1">
      <alignment horizontal="fill" vertical="center"/>
    </xf>
    <xf numFmtId="0" fontId="3" fillId="2" borderId="0" xfId="0" applyFont="1" applyFill="1" applyAlignment="1" applyProtection="1">
      <alignment horizontal="center" vertical="center"/>
      <protection locked="0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145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</dxf>
    <dxf>
      <font>
        <b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lor theme="1"/>
      </font>
      <fill>
        <patternFill>
          <bgColor rgb="FF72B198"/>
        </patternFill>
      </fill>
    </dxf>
    <dxf>
      <font>
        <b/>
        <i val="0"/>
        <strike val="0"/>
        <color theme="1"/>
      </font>
      <fill>
        <patternFill>
          <bgColor rgb="FFE88890"/>
        </patternFill>
      </fill>
    </dxf>
    <dxf>
      <font>
        <strike val="0"/>
      </font>
      <fill>
        <patternFill patternType="darkDown">
          <fgColor rgb="FF595959"/>
          <bgColor rgb="FF00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name val="Calibri"/>
        <family val="2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1"/>
        <name val="Calibri"/>
        <family val="2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</font>
      <numFmt numFmtId="164" formatCode="&quot;R$&quot;\ #,##0.00"/>
      <alignment horizontal="right" vertical="center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</font>
      <alignment horizontal="left" vertical="center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</font>
      <alignment horizontal="left" vertical="center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</font>
      <alignment horizontal="left" vertical="center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</font>
      <alignment horizontal="left" vertical="center"/>
    </dxf>
    <dxf>
      <font>
        <strike val="0"/>
        <outline val="0"/>
        <shadow val="0"/>
        <u val="none"/>
        <vertAlign val="baseline"/>
        <sz val="11"/>
        <name val="Calibri"/>
        <family val="2"/>
      </font>
      <alignment horizontal="left" vertical="top" textRotation="0" wrapText="0" indent="0" justifyLastLine="0" shrinkToFit="0" readingOrder="0"/>
    </dxf>
    <dxf>
      <fill>
        <patternFill>
          <bgColor rgb="FFF7C4BF"/>
        </patternFill>
      </fill>
    </dxf>
    <dxf>
      <fill>
        <patternFill>
          <bgColor rgb="FFF4EAFF"/>
        </patternFill>
      </fill>
    </dxf>
    <dxf>
      <fill>
        <patternFill>
          <bgColor rgb="FFFFEBEE"/>
        </patternFill>
      </fill>
    </dxf>
    <dxf>
      <fill>
        <patternFill>
          <bgColor rgb="FFD8F3DC"/>
        </patternFill>
      </fill>
    </dxf>
    <dxf>
      <fill>
        <patternFill>
          <bgColor rgb="FFEFEBE9"/>
        </patternFill>
      </fill>
    </dxf>
    <dxf>
      <fill>
        <patternFill>
          <bgColor rgb="FFFAFAFA"/>
        </patternFill>
      </fill>
    </dxf>
    <dxf>
      <fill>
        <patternFill>
          <bgColor rgb="FFE3F2FD"/>
        </patternFill>
      </fill>
    </dxf>
    <dxf>
      <fill>
        <patternFill>
          <bgColor rgb="FFFFF3E0"/>
        </patternFill>
      </fill>
    </dxf>
    <dxf>
      <fill>
        <patternFill>
          <bgColor rgb="FFE8F5E9"/>
        </patternFill>
      </fill>
    </dxf>
    <dxf>
      <fill>
        <patternFill>
          <bgColor rgb="FFE0F7FA"/>
        </patternFill>
      </fill>
    </dxf>
    <dxf>
      <fill>
        <patternFill>
          <bgColor rgb="FFFFECF2"/>
        </patternFill>
      </fill>
    </dxf>
    <dxf>
      <fill>
        <patternFill>
          <bgColor rgb="FFFFE5D9"/>
        </patternFill>
      </fill>
    </dxf>
    <dxf>
      <fill>
        <patternFill>
          <bgColor rgb="FFFFFDE7"/>
        </patternFill>
      </fill>
    </dxf>
    <dxf>
      <fill>
        <patternFill>
          <bgColor rgb="FFF7C4BF"/>
        </patternFill>
      </fill>
    </dxf>
    <dxf>
      <fill>
        <patternFill>
          <bgColor rgb="FFF4EAFF"/>
        </patternFill>
      </fill>
    </dxf>
    <dxf>
      <fill>
        <patternFill>
          <bgColor rgb="FFFFEBEE"/>
        </patternFill>
      </fill>
    </dxf>
    <dxf>
      <fill>
        <patternFill>
          <bgColor rgb="FFD8F3DC"/>
        </patternFill>
      </fill>
    </dxf>
    <dxf>
      <fill>
        <patternFill>
          <bgColor rgb="FFEFEBE9"/>
        </patternFill>
      </fill>
    </dxf>
    <dxf>
      <fill>
        <patternFill>
          <bgColor rgb="FFFAFAFA"/>
        </patternFill>
      </fill>
    </dxf>
    <dxf>
      <fill>
        <patternFill>
          <bgColor rgb="FFE3F2FD"/>
        </patternFill>
      </fill>
    </dxf>
    <dxf>
      <fill>
        <patternFill>
          <bgColor rgb="FFFFF3E0"/>
        </patternFill>
      </fill>
    </dxf>
    <dxf>
      <fill>
        <patternFill>
          <bgColor rgb="FFE8F5E9"/>
        </patternFill>
      </fill>
    </dxf>
    <dxf>
      <fill>
        <patternFill>
          <bgColor rgb="FFE0F7FA"/>
        </patternFill>
      </fill>
    </dxf>
    <dxf>
      <fill>
        <patternFill>
          <bgColor rgb="FFFFECF2"/>
        </patternFill>
      </fill>
    </dxf>
    <dxf>
      <fill>
        <patternFill>
          <bgColor rgb="FFFFE5D9"/>
        </patternFill>
      </fill>
    </dxf>
    <dxf>
      <fill>
        <patternFill>
          <bgColor rgb="FFFFFDE7"/>
        </patternFill>
      </fill>
    </dxf>
    <dxf>
      <font>
        <b/>
        <i val="0"/>
        <strike val="0"/>
        <color theme="1"/>
      </font>
      <fill>
        <patternFill>
          <fgColor rgb="FFFFD8A8"/>
          <bgColor rgb="FFFFD8A8"/>
        </patternFill>
      </fill>
    </dxf>
    <dxf>
      <font>
        <b/>
        <i val="0"/>
        <strike val="0"/>
        <color theme="1"/>
      </font>
      <fill>
        <patternFill>
          <bgColor rgb="FFE88890"/>
        </patternFill>
      </fill>
    </dxf>
    <dxf>
      <font>
        <b/>
        <i val="0"/>
        <strike val="0"/>
        <color theme="1"/>
      </font>
      <fill>
        <patternFill>
          <bgColor rgb="FF72B198"/>
        </patternFill>
      </fill>
    </dxf>
    <dxf>
      <font>
        <b/>
        <i val="0"/>
        <strike val="0"/>
        <color theme="1"/>
      </font>
      <fill>
        <patternFill>
          <bgColor rgb="FF72B198"/>
        </patternFill>
      </fill>
    </dxf>
    <dxf>
      <font>
        <b/>
        <i val="0"/>
        <strike val="0"/>
        <color theme="1"/>
      </font>
      <fill>
        <patternFill>
          <bgColor rgb="FFAE9CC4"/>
        </patternFill>
      </fill>
    </dxf>
    <dxf>
      <font>
        <b/>
        <i val="0"/>
        <strike val="0"/>
      </font>
      <fill>
        <patternFill>
          <fgColor rgb="FFADD8E6"/>
          <bgColor rgb="FFE88890"/>
        </patternFill>
      </fill>
    </dxf>
    <dxf>
      <font>
        <b/>
        <i val="0"/>
        <strike val="0"/>
      </font>
      <fill>
        <patternFill>
          <fgColor rgb="FFADD8E6"/>
          <bgColor rgb="FFADD8E6"/>
        </patternFill>
      </fill>
    </dxf>
    <dxf>
      <font>
        <b/>
        <i val="0"/>
        <strike val="0"/>
        <color theme="1"/>
      </font>
      <fill>
        <patternFill>
          <fgColor theme="0"/>
          <bgColor rgb="FFF4E29B"/>
        </patternFill>
      </fill>
    </dxf>
    <dxf>
      <font>
        <strike val="0"/>
      </font>
      <fill>
        <patternFill patternType="darkDown">
          <fgColor theme="1" tint="0.34998626667073579"/>
          <bgColor rgb="FF333333"/>
        </patternFill>
      </fill>
    </dxf>
    <dxf>
      <font>
        <b/>
        <strike val="0"/>
        <color theme="0"/>
      </font>
      <fill>
        <patternFill>
          <bgColor rgb="FF72B198"/>
        </patternFill>
      </fill>
    </dxf>
    <dxf>
      <font>
        <b/>
        <strike val="0"/>
        <color theme="0"/>
      </font>
      <fill>
        <patternFill>
          <bgColor rgb="FFE8889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fil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right" vertical="center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7C4BF"/>
        </patternFill>
      </fill>
    </dxf>
    <dxf>
      <fill>
        <patternFill>
          <bgColor rgb="FFF4EAFF"/>
        </patternFill>
      </fill>
    </dxf>
    <dxf>
      <fill>
        <patternFill>
          <bgColor rgb="FFFFEBEE"/>
        </patternFill>
      </fill>
    </dxf>
    <dxf>
      <fill>
        <patternFill>
          <bgColor rgb="FFD8F3DC"/>
        </patternFill>
      </fill>
    </dxf>
    <dxf>
      <fill>
        <patternFill>
          <bgColor rgb="FFEFEBE9"/>
        </patternFill>
      </fill>
    </dxf>
    <dxf>
      <fill>
        <patternFill>
          <bgColor rgb="FFFAFAFA"/>
        </patternFill>
      </fill>
    </dxf>
    <dxf>
      <fill>
        <patternFill>
          <bgColor rgb="FFE3F2FD"/>
        </patternFill>
      </fill>
    </dxf>
    <dxf>
      <fill>
        <patternFill>
          <bgColor rgb="FFFFF3E0"/>
        </patternFill>
      </fill>
    </dxf>
    <dxf>
      <fill>
        <patternFill>
          <bgColor rgb="FFE8F5E9"/>
        </patternFill>
      </fill>
    </dxf>
    <dxf>
      <fill>
        <patternFill>
          <bgColor rgb="FFE0F7FA"/>
        </patternFill>
      </fill>
    </dxf>
    <dxf>
      <fill>
        <patternFill>
          <bgColor rgb="FFFFECF2"/>
        </patternFill>
      </fill>
    </dxf>
    <dxf>
      <fill>
        <patternFill>
          <bgColor rgb="FFFFE5D9"/>
        </patternFill>
      </fill>
    </dxf>
    <dxf>
      <fill>
        <patternFill>
          <bgColor rgb="FFFFFDE7"/>
        </patternFill>
      </fill>
    </dxf>
    <dxf>
      <fill>
        <patternFill>
          <bgColor rgb="FFF7C4BF"/>
        </patternFill>
      </fill>
    </dxf>
    <dxf>
      <fill>
        <patternFill>
          <bgColor rgb="FFF4EAFF"/>
        </patternFill>
      </fill>
    </dxf>
    <dxf>
      <fill>
        <patternFill>
          <bgColor rgb="FFFFEBEE"/>
        </patternFill>
      </fill>
    </dxf>
    <dxf>
      <fill>
        <patternFill>
          <bgColor rgb="FFD8F3DC"/>
        </patternFill>
      </fill>
    </dxf>
    <dxf>
      <fill>
        <patternFill>
          <bgColor rgb="FFEFEBE9"/>
        </patternFill>
      </fill>
    </dxf>
    <dxf>
      <fill>
        <patternFill>
          <bgColor rgb="FFFAFAFA"/>
        </patternFill>
      </fill>
    </dxf>
    <dxf>
      <fill>
        <patternFill>
          <bgColor rgb="FFE3F2FD"/>
        </patternFill>
      </fill>
    </dxf>
    <dxf>
      <fill>
        <patternFill>
          <bgColor rgb="FFFFF3E0"/>
        </patternFill>
      </fill>
    </dxf>
    <dxf>
      <fill>
        <patternFill>
          <bgColor rgb="FFE8F5E9"/>
        </patternFill>
      </fill>
    </dxf>
    <dxf>
      <fill>
        <patternFill>
          <bgColor rgb="FFE0F7FA"/>
        </patternFill>
      </fill>
    </dxf>
    <dxf>
      <fill>
        <patternFill>
          <bgColor rgb="FFFFECF2"/>
        </patternFill>
      </fill>
    </dxf>
    <dxf>
      <fill>
        <patternFill>
          <bgColor rgb="FFFFE5D9"/>
        </patternFill>
      </fill>
    </dxf>
    <dxf>
      <fill>
        <patternFill>
          <bgColor rgb="FFFFFDE7"/>
        </patternFill>
      </fill>
    </dxf>
    <dxf>
      <font>
        <b/>
        <i val="0"/>
        <strike val="0"/>
        <color theme="1"/>
      </font>
      <fill>
        <patternFill>
          <fgColor rgb="FFFFD8A8"/>
          <bgColor rgb="FFFFD8A8"/>
        </patternFill>
      </fill>
    </dxf>
    <dxf>
      <font>
        <b/>
        <i val="0"/>
        <strike val="0"/>
        <color theme="1"/>
      </font>
      <fill>
        <patternFill>
          <bgColor rgb="FFE88890"/>
        </patternFill>
      </fill>
    </dxf>
    <dxf>
      <font>
        <b/>
        <i val="0"/>
        <strike val="0"/>
        <color theme="1"/>
      </font>
      <fill>
        <patternFill>
          <bgColor rgb="FF72B198"/>
        </patternFill>
      </fill>
    </dxf>
    <dxf>
      <font>
        <b/>
        <i val="0"/>
        <strike val="0"/>
        <color theme="1"/>
      </font>
      <fill>
        <patternFill>
          <fgColor rgb="FFADD8E6"/>
          <bgColor rgb="FFE88890"/>
        </patternFill>
      </fill>
    </dxf>
    <dxf>
      <font>
        <b/>
        <i val="0"/>
        <strike val="0"/>
        <color theme="1"/>
      </font>
      <fill>
        <patternFill>
          <fgColor rgb="FFADD8E6"/>
          <bgColor rgb="FFADD8E6"/>
        </patternFill>
      </fill>
    </dxf>
    <dxf>
      <font>
        <b/>
        <i val="0"/>
        <strike val="0"/>
        <color theme="1"/>
      </font>
      <fill>
        <patternFill>
          <bgColor rgb="FFF4E29B"/>
        </patternFill>
      </fill>
    </dxf>
    <dxf>
      <font>
        <b/>
        <i val="0"/>
        <strike val="0"/>
        <color theme="1"/>
      </font>
      <fill>
        <patternFill>
          <bgColor rgb="FF72B198"/>
        </patternFill>
      </fill>
    </dxf>
    <dxf>
      <font>
        <b/>
        <i val="0"/>
        <strike val="0"/>
        <color theme="1"/>
      </font>
      <fill>
        <patternFill>
          <bgColor rgb="FFAE9CC4"/>
        </patternFill>
      </fill>
    </dxf>
    <dxf>
      <font>
        <strike val="0"/>
      </font>
      <fill>
        <patternFill patternType="darkDown">
          <fgColor theme="1" tint="0.34998626667073579"/>
          <bgColor theme="1"/>
        </patternFill>
      </fill>
    </dxf>
    <dxf>
      <font>
        <strike val="0"/>
      </font>
      <fill>
        <patternFill patternType="darkDown">
          <fgColor theme="1" tint="0.34998626667073579"/>
          <bgColor theme="1"/>
        </patternFill>
      </fill>
    </dxf>
  </dxfs>
  <tableStyles count="0" defaultTableStyle="TableStyleMedium9" defaultPivotStyle="PivotStyleLight16"/>
  <colors>
    <mruColors>
      <color rgb="FFF7C4BF"/>
      <color rgb="FFF1948A"/>
      <color rgb="FFAE9CC4"/>
      <color rgb="FF8F77AD"/>
      <color rgb="FFD8F3DC"/>
      <color rgb="FFFFE5D9"/>
      <color rgb="FFECEFF1"/>
      <color rgb="FFF4EAFF"/>
      <color rgb="FFFFEBEE"/>
      <color rgb="FFF1F8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285750</xdr:colOff>
      <xdr:row>1</xdr:row>
      <xdr:rowOff>82550</xdr:rowOff>
    </xdr:from>
    <xdr:to>
      <xdr:col>9</xdr:col>
      <xdr:colOff>330200</xdr:colOff>
      <xdr:row>3</xdr:row>
      <xdr:rowOff>0</xdr:rowOff>
    </xdr:to>
    <xdr:sp macro="[0]!Trigger_Executar_Fila_Globa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B5BAE93-023D-A9FC-9CC8-319F7FC12DBB}"/>
            </a:ext>
          </a:extLst>
        </xdr:cNvPr>
        <xdr:cNvSpPr/>
      </xdr:nvSpPr>
      <xdr:spPr>
        <a:xfrm>
          <a:off x="6273800" y="298450"/>
          <a:ext cx="1828800" cy="558800"/>
        </a:xfrm>
        <a:prstGeom prst="roundRect">
          <a:avLst/>
        </a:prstGeom>
        <a:effectLst>
          <a:outerShdw blurRad="40000" dist="25400" dir="6120000" rotWithShape="0">
            <a:srgbClr val="000000">
              <a:alpha val="38000"/>
            </a:srgb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Atualizar Sistema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refreshOnLoad="1" connectionId="1" xr16:uid="{C82C6971-B924-4BD2-BEE8-47D86070CCFE}" autoFormatId="16" applyNumberFormats="0" applyBorderFormats="0" applyFontFormats="0" applyPatternFormats="0" applyAlignmentFormats="0" applyWidthHeightFormats="0">
  <queryTableRefresh nextId="207">
    <queryTableFields count="21">
      <queryTableField id="3" name="ALIMENTACAO" tableColumnId="3"/>
      <queryTableField id="99" name="ASSINATURA" tableColumnId="4"/>
      <queryTableField id="122" name="BELEZA_PESSOAL" tableColumnId="28"/>
      <queryTableField id="7" name="EDUCACAO" tableColumnId="7"/>
      <queryTableField id="8" name="FINANCEIRO" tableColumnId="8"/>
      <queryTableField id="10" name="LAZER" tableColumnId="10"/>
      <queryTableField id="11" name="MORADIA" tableColumnId="11"/>
      <queryTableField id="18" name="OUTROS" tableColumnId="18"/>
      <queryTableField id="12" name="PETS" tableColumnId="12"/>
      <queryTableField id="13" name="RECEITA" tableColumnId="13"/>
      <queryTableField id="14" name="SAUDE" tableColumnId="14"/>
      <queryTableField id="15" name="SHOPPING" tableColumnId="15"/>
      <queryTableField id="16" name="TRANSPORTE" tableColumnId="16"/>
      <queryTableField id="132" name="CATEGORIA_LANCAMENTO" tableColumnId="38"/>
      <queryTableField id="196" name="FREQUENCIA" tableColumnId="9"/>
      <queryTableField id="125" name="METODO_PAGAMENTO" tableColumnId="31"/>
      <queryTableField id="1" name="RESPONSAVEL" tableColumnId="1"/>
      <queryTableField id="162" name="STATUS_GENERICO" tableColumnId="2"/>
      <queryTableField id="194" name="STATUS_PAGAMENTO" tableColumnId="21"/>
      <queryTableField id="186" name="TIPO_LANCAMENTO" tableColumnId="6"/>
      <queryTableField id="192" name="CARTAO_CREDITO" tableColumnId="5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_Lancamentos_Eventuais" displayName="tbl_Lancamentos_Eventuais" ref="A2:M172" headerRowDxfId="108" dataDxfId="107" totalsRowDxfId="105" tableBorderDxfId="106" totalsRowBorderDxfId="104">
  <autoFilter ref="A2:M172" xr:uid="{00000000-000C-0000-FFFF-FFFF02000000}"/>
  <sortState xmlns:xlrd2="http://schemas.microsoft.com/office/spreadsheetml/2017/richdata2" ref="A3:M172">
    <sortCondition ref="L3:L172"/>
    <sortCondition ref="B3:B172"/>
  </sortState>
  <tableColumns count="13">
    <tableColumn id="2" xr3:uid="{00000000-0010-0000-0200-000002000000}" name="RESPONSAVEL" totalsRowLabel="Total" dataDxfId="103"/>
    <tableColumn id="3" xr3:uid="{00000000-0010-0000-0200-000003000000}" name="CATEGORIA" dataDxfId="102"/>
    <tableColumn id="4" xr3:uid="{00000000-0010-0000-0200-000004000000}" name="SERVICO" dataDxfId="101"/>
    <tableColumn id="5" xr3:uid="{00000000-0010-0000-0200-000005000000}" name="DESCRICAO" dataDxfId="100"/>
    <tableColumn id="7" xr3:uid="{00000000-0010-0000-0200-000007000000}" name="VALOR" dataDxfId="99"/>
    <tableColumn id="8" xr3:uid="{00000000-0010-0000-0200-000008000000}" name="TIPO" dataDxfId="98"/>
    <tableColumn id="13" xr3:uid="{A44250D4-4D3A-43C8-B594-970CBD9701F8}" name="METODO_PAGAMENTO" dataDxfId="97"/>
    <tableColumn id="1" xr3:uid="{2FBFA487-1F3F-49B6-AC11-368AB29CB950}" name="CARTAO" dataDxfId="96"/>
    <tableColumn id="10" xr3:uid="{0E66D1A6-AA67-464B-91A2-AAA1E96E30A1}" name="N_PARCELAS" dataDxfId="95"/>
    <tableColumn id="12" xr3:uid="{D45F60BA-8DAB-483E-A42A-EDB3245FD882}" name="PARCELA_ATUAL" dataDxfId="94"/>
    <tableColumn id="14" xr3:uid="{8BA8F6AE-5860-4DAE-8BF4-81EEA3E5629E}" name="ID_PARCELAMENTO" dataDxfId="93"/>
    <tableColumn id="9" xr3:uid="{00000000-0010-0000-0200-000009000000}" name="DATA_EFETIVA" dataDxfId="92"/>
    <tableColumn id="11" xr3:uid="{00000000-0010-0000-0200-00000B000000}" name="STATUS" totalsRowFunction="count" dataDxfId="91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2E08FE1-CA3E-4753-8D37-308C8136FFE5}" name="tbl_Lancamentos_Fixos" displayName="tbl_Lancamentos_Fixos" ref="A2:K124" totalsRowShown="0" headerRowDxfId="53" dataDxfId="52" tableBorderDxfId="51" totalsRowBorderDxfId="50">
  <autoFilter ref="A2:K124" xr:uid="{00000000-0009-0000-0100-000003000000}"/>
  <sortState xmlns:xlrd2="http://schemas.microsoft.com/office/spreadsheetml/2017/richdata2" ref="A3:K124">
    <sortCondition ref="J3:J124"/>
    <sortCondition ref="B3:B124"/>
  </sortState>
  <tableColumns count="11">
    <tableColumn id="2" xr3:uid="{09FE26D1-0F8A-4B73-A970-85B1923DF036}" name="RESPONSAVEL" dataDxfId="49"/>
    <tableColumn id="3" xr3:uid="{C9BBDAC1-C84E-4719-876A-AA679F546C27}" name="CATEGORIA" dataDxfId="48"/>
    <tableColumn id="4" xr3:uid="{F156A290-D141-4368-A416-57B4ED607E82}" name="SERVICO" dataDxfId="47"/>
    <tableColumn id="5" xr3:uid="{4126CA07-7FA3-4D84-9785-49A930D422CF}" name="DESCRICAO" dataDxfId="46"/>
    <tableColumn id="7" xr3:uid="{F9B53688-5409-44D7-A5A6-EB4E329249ED}" name="VALOR" dataDxfId="45"/>
    <tableColumn id="8" xr3:uid="{54161B9E-A78B-49C3-BC9A-D5B372BA4481}" name="TIPO" dataDxfId="44"/>
    <tableColumn id="12" xr3:uid="{E2CD9CF3-26C4-4988-A789-E9F2F382EFAA}" name="METODO_PAGAMENTO" dataDxfId="43"/>
    <tableColumn id="1" xr3:uid="{795DF651-CAA7-4E2F-97CC-278D0110855E}" name="CARTAO" dataDxfId="42"/>
    <tableColumn id="13" xr3:uid="{A0B4AE10-E2F8-4543-8394-91374DDAF76D}" name="FREQUENCIA" dataDxfId="41"/>
    <tableColumn id="9" xr3:uid="{E9AC6BA4-410B-428D-85E9-F180B97CB257}" name="DATA_EFETIVA" dataDxfId="40"/>
    <tableColumn id="11" xr3:uid="{0D7ECF74-1C25-4080-B5B9-02C4397DEE1C}" name="STATUS" dataDxfId="3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6CCB541-54EE-4EE9-A9DD-6C8A04F3824C}" name="PQ_Base_Opcoes_Formatada" displayName="PQ_Base_Opcoes_Formatada" ref="A1:U36" tableType="queryTable" totalsRowShown="0">
  <autoFilter ref="A1:U36" xr:uid="{66CCB541-54EE-4EE9-A9DD-6C8A04F3824C}"/>
  <tableColumns count="21">
    <tableColumn id="3" xr3:uid="{BDA92882-4FA6-400E-A52E-6A49F36453F6}" uniqueName="3" name="ALIMENTACAO" queryTableFieldId="3" dataDxfId="38"/>
    <tableColumn id="4" xr3:uid="{CB661E61-4A0B-4D53-BFBC-FF571CB45B0A}" uniqueName="4" name="ASSINATURA" queryTableFieldId="99" dataDxfId="37"/>
    <tableColumn id="28" xr3:uid="{0BEF1311-ADF4-4125-9E3C-2AD3D3D8D975}" uniqueName="28" name="BELEZA_PESSOAL" queryTableFieldId="122" dataDxfId="36"/>
    <tableColumn id="7" xr3:uid="{E1F7EE71-1EEB-46A0-95DD-CA4DECD3ABEE}" uniqueName="7" name="EDUCACAO" queryTableFieldId="7" dataDxfId="35"/>
    <tableColumn id="8" xr3:uid="{33AC1050-EAB8-47F2-9DF7-8042B69D2650}" uniqueName="8" name="FINANCEIRO" queryTableFieldId="8" dataDxfId="34"/>
    <tableColumn id="10" xr3:uid="{01C78EB5-2332-4B00-8F60-F1284A351EAB}" uniqueName="10" name="LAZER" queryTableFieldId="10" dataDxfId="33"/>
    <tableColumn id="11" xr3:uid="{8F687E61-76B7-4704-AA14-D422C7FE601E}" uniqueName="11" name="MORADIA" queryTableFieldId="11" dataDxfId="32"/>
    <tableColumn id="18" xr3:uid="{9F81BDD8-CE9B-471F-84F0-9911CEB8A064}" uniqueName="18" name="OUTROS" queryTableFieldId="18" dataDxfId="31"/>
    <tableColumn id="12" xr3:uid="{5F5649FE-C619-4A07-B762-02606541509C}" uniqueName="12" name="PETS" queryTableFieldId="12" dataDxfId="30"/>
    <tableColumn id="13" xr3:uid="{8F687BD2-9BC7-4302-B0F1-86FE6EFF77B6}" uniqueName="13" name="RECEITA" queryTableFieldId="13" dataDxfId="29"/>
    <tableColumn id="14" xr3:uid="{98A7BF19-E4B2-486B-8314-E39445D03720}" uniqueName="14" name="SAUDE" queryTableFieldId="14" dataDxfId="28"/>
    <tableColumn id="15" xr3:uid="{9F9E5DFE-7572-43DD-AEE0-9040AF20E25F}" uniqueName="15" name="SHOPPING" queryTableFieldId="15" dataDxfId="27"/>
    <tableColumn id="16" xr3:uid="{ED46796A-29B2-4C40-A8E8-414AA894484B}" uniqueName="16" name="TRANSPORTE" queryTableFieldId="16" dataDxfId="26"/>
    <tableColumn id="38" xr3:uid="{595B31EF-A958-4757-B7F1-02F9A603A346}" uniqueName="38" name="CATEGORIA_LANCAMENTO" queryTableFieldId="132" dataDxfId="25"/>
    <tableColumn id="9" xr3:uid="{4C7C27A6-3607-488A-9112-2C4EC497A742}" uniqueName="9" name="FREQUENCIA" queryTableFieldId="196" dataDxfId="24"/>
    <tableColumn id="31" xr3:uid="{24E1C8D2-C995-4665-B7CF-7189595A8FEE}" uniqueName="31" name="METODO_PAGAMENTO" queryTableFieldId="125" dataDxfId="23"/>
    <tableColumn id="1" xr3:uid="{B5164734-218B-4ADF-AD29-B06AD45F3293}" uniqueName="1" name="RESPONSAVEL" queryTableFieldId="1" dataDxfId="22"/>
    <tableColumn id="2" xr3:uid="{2D56264B-EDFC-4E8C-ACFC-51983A50862C}" uniqueName="2" name="STATUS_GENERICO" queryTableFieldId="162" dataDxfId="21"/>
    <tableColumn id="21" xr3:uid="{0EEDF337-2243-410E-B4A4-76BE9EA19990}" uniqueName="21" name="STATUS_PAGAMENTO" queryTableFieldId="194" dataDxfId="20"/>
    <tableColumn id="6" xr3:uid="{5016634B-4A55-4699-A449-45E54BA92552}" uniqueName="6" name="TIPO_LANCAMENTO" queryTableFieldId="186" dataDxfId="19"/>
    <tableColumn id="5" xr3:uid="{F97D2C97-111D-494A-986C-EFAADF6AEF77}" uniqueName="5" name="CARTAO_CREDITO" queryTableFieldId="192" dataDxfId="18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_Base_User" displayName="tbl_Base_User" ref="A2:M42" totalsRowShown="0">
  <autoFilter ref="A2:M42" xr:uid="{00000000-000C-0000-FFFF-FFFF01000000}"/>
  <sortState xmlns:xlrd2="http://schemas.microsoft.com/office/spreadsheetml/2017/richdata2" ref="A3:M59">
    <sortCondition ref="B2:B59"/>
  </sortState>
  <tableColumns count="13">
    <tableColumn id="45" xr3:uid="{443CF2D9-2574-4FD2-9579-78B1920EB386}" name="ALIMENTACAO"/>
    <tableColumn id="44" xr3:uid="{6ED0D39C-FE3D-4748-A6F7-6DC22DA7FB4C}" name="ASSINATURA"/>
    <tableColumn id="43" xr3:uid="{D54971F3-C4CD-4315-87DC-5F09625C3D78}" name="BELEZA_PESSOAL"/>
    <tableColumn id="41" xr3:uid="{D3C10615-66AE-4960-AA62-08DB8A1BCFE0}" name="EDUCACAO"/>
    <tableColumn id="40" xr3:uid="{A78E49F9-4595-4975-B341-E44074B6CAE8}" name="FINANCEIRO"/>
    <tableColumn id="38" xr3:uid="{D731D03F-BC77-4DCA-9AB7-1E29F2E9D88E}" name="LAZER"/>
    <tableColumn id="37" xr3:uid="{BBD03352-97EE-435E-9C2D-BBBCA39E3308}" name="MORADIA"/>
    <tableColumn id="17" xr3:uid="{0CA4FDD5-58B7-4C5D-8817-0F4BECF10E69}" name="OUTROS"/>
    <tableColumn id="36" xr3:uid="{5188417E-552F-446E-A3BF-9957BDCF5F33}" name="PETS"/>
    <tableColumn id="35" xr3:uid="{94827B8D-24B0-45EF-B182-B972D295F5A5}" name="RECEITA"/>
    <tableColumn id="34" xr3:uid="{89A5CBE2-0AEF-4C0F-80E4-8B722CF5C9F5}" name="SAUDE"/>
    <tableColumn id="33" xr3:uid="{E3B491A2-D0E8-42C4-86E5-94DF9B35A5B7}" name="SHOPPING"/>
    <tableColumn id="32" xr3:uid="{375DE77B-60C1-498C-A189-0EE82242FE3B}" name="TRANSPORTE"/>
  </tableColumns>
  <tableStyleInfo name="TableStyleLight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D3E6FF0-2AB2-45F1-92AD-DDCEE3DF2E3B}" name="tbl_Base_Cartoes_Credito" displayName="tbl_Base_Cartoes_Credito" ref="P2:S5" totalsRowShown="0" headerRowDxfId="14" headerRowBorderDxfId="13" tableBorderDxfId="12" totalsRowBorderDxfId="11">
  <autoFilter ref="P2:S5" xr:uid="{0D3E6FF0-2AB2-45F1-92AD-DDCEE3DF2E3B}"/>
  <tableColumns count="4">
    <tableColumn id="7" xr3:uid="{B179E7B4-FFCE-417E-B726-E0B81EFD1F17}" name="NOME" dataDxfId="10"/>
    <tableColumn id="4" xr3:uid="{E649D59E-BA6C-44A7-8FD1-D82C36C44E06}" name="DIA_FECH" dataDxfId="9"/>
    <tableColumn id="5" xr3:uid="{C32B1C2B-C3C7-4623-85CB-9A35BBE9154F}" name="DIA_VENC" dataDxfId="8"/>
    <tableColumn id="6" xr3:uid="{700902C4-4503-4A90-9F0B-534C261B1CCB}" name="STATUS" dataDxfId="7"/>
  </tableColumns>
  <tableStyleInfo name="TableStyleLight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E819125-5D7D-4078-BB52-CFBE525E6575}" name="tbl_Base_Sistema" displayName="tbl_Base_Sistema" ref="V2:AB18" totalsRowShown="0">
  <autoFilter ref="V2:AB18" xr:uid="{3E819125-5D7D-4078-BB52-CFBE525E6575}"/>
  <tableColumns count="7">
    <tableColumn id="8" xr3:uid="{1497C467-7F75-469F-A584-C76C8FD908E8}" name="CATEGORIA_LANCAMENTO"/>
    <tableColumn id="3" xr3:uid="{9A66FCA8-9AEE-4FC8-9C63-361B790E72F7}" name="FREQUENCIA"/>
    <tableColumn id="5" xr3:uid="{FDA6FC31-7239-4335-8283-0619212ADBD1}" name="METODO_PAGAMENTO"/>
    <tableColumn id="1" xr3:uid="{CC0BB266-B3AB-43CE-90C7-53057DED06CC}" name="RESPONSAVEL"/>
    <tableColumn id="2" xr3:uid="{F36A0FD7-0B96-4D9A-8335-F8B833BA9300}" name="STATUS_GENERICO"/>
    <tableColumn id="4" xr3:uid="{36FB2D8F-ABE0-489E-9ECB-6CD525AF4E3E}" name="STATUS_PAGAMENTO"/>
    <tableColumn id="10" xr3:uid="{CAEF488B-B961-417E-8770-F6002AABE61C}" name="TIPO_LANCAMENTO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BEC6776-8FA7-4760-8CE7-5E4C0535A749}" name="tbl_Projecao_Lancamentos_Fixos" displayName="tbl_Projecao_Lancamentos_Fixos" ref="A2:E10" totalsRowShown="0" headerRowDxfId="6" dataDxfId="5">
  <autoFilter ref="A2:E10" xr:uid="{8BEC6776-8FA7-4760-8CE7-5E4C0535A749}"/>
  <tableColumns count="5">
    <tableColumn id="1" xr3:uid="{9B01F54B-951D-4133-8E9B-85D5BE083162}" name="CHAVE" dataDxfId="4"/>
    <tableColumn id="7" xr3:uid="{05407E6C-B98F-4812-BBF1-CD6BB9377F52}" name="FREQUENCIA" dataDxfId="3"/>
    <tableColumn id="6" xr3:uid="{42CBCAB6-3260-49DB-8370-02E8AEEEC5E1}" name="DATA_PROJETADA" dataDxfId="2"/>
    <tableColumn id="2" xr3:uid="{165C1865-E0D7-449C-A446-D9C7BC8B733C}" name="DECISAO" dataDxfId="1"/>
    <tableColumn id="3" xr3:uid="{A843A39D-AB2F-4A67-8786-2E8379DCAE05}" name="DATA_DECISAO" data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6">
    <wetp:webextensionref xmlns:r="http://schemas.openxmlformats.org/officeDocument/2006/relationships" r:id="rId1"/>
  </wetp:taskpane>
  <wetp:taskpane dockstate="right" visibility="0" width="525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43D6FD31-4FC1-43DB-B50E-AEE2478E90A1}">
  <we:reference id="wa200005502" version="1.0.0.12" store="en-US" storeType="OMEX"/>
  <we:alternateReferences>
    <we:reference id="WA200005502" version="1.0.0.12" store="" storeType="OMEX"/>
  </we:alternateReferences>
  <we:properties>
    <we:property name="docId" value="&quot;n4mZAWa6sa3A_xXTxDsS9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49691AF0-769B-4746-B96F-9D2C3A1EBD77}">
  <we:reference id="wa200009404" version="1.0.0.8" store="pt-PT" storeType="OMEX"/>
  <we:alternateReferences>
    <we:reference id="wa200009404" version="1.0.0.8" store="wa200009404" storeType="OMEX"/>
  </we:alternateReferences>
  <we:properties>
    <we:property name="claude.fileId" value="&quot;46214f7f-0d33-4480-891d-93a24de8b9cf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rgb="FF7030A0"/>
    <pageSetUpPr autoPageBreaks="0"/>
  </sheetPr>
  <dimension ref="A1:N172"/>
  <sheetViews>
    <sheetView showGridLines="0" zoomScale="70" zoomScaleNormal="70" workbookViewId="0">
      <pane ySplit="2" topLeftCell="A150" activePane="bottomLeft" state="frozen"/>
      <selection activeCell="B1" sqref="B1"/>
      <selection pane="bottomLeft" activeCell="D175" sqref="D175"/>
    </sheetView>
  </sheetViews>
  <sheetFormatPr defaultRowHeight="14.5" x14ac:dyDescent="0.35"/>
  <cols>
    <col min="1" max="1" width="17.36328125" style="2" customWidth="1"/>
    <col min="2" max="2" width="24.08984375" style="2" customWidth="1"/>
    <col min="3" max="3" width="25.7265625" style="2" customWidth="1"/>
    <col min="4" max="4" width="32.81640625" style="2" bestFit="1" customWidth="1"/>
    <col min="5" max="5" width="15.26953125" style="1" customWidth="1"/>
    <col min="6" max="6" width="14.7265625" style="2" customWidth="1"/>
    <col min="7" max="7" width="26.26953125" style="2" customWidth="1"/>
    <col min="8" max="8" width="15.453125" style="76" bestFit="1" customWidth="1"/>
    <col min="9" max="9" width="15.36328125" style="14" customWidth="1"/>
    <col min="10" max="10" width="18.26953125" style="8" customWidth="1"/>
    <col min="11" max="11" width="20.54296875" style="4" customWidth="1"/>
    <col min="12" max="12" width="17.36328125" customWidth="1"/>
    <col min="13" max="13" width="14.453125" bestFit="1" customWidth="1"/>
    <col min="14" max="14" width="14.453125" style="2" customWidth="1"/>
  </cols>
  <sheetData>
    <row r="1" spans="1:14" x14ac:dyDescent="0.35">
      <c r="A1" s="81" t="s">
        <v>212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9"/>
    </row>
    <row r="2" spans="1:14" ht="14.5" customHeight="1" x14ac:dyDescent="0.35">
      <c r="A2" s="17" t="s">
        <v>0</v>
      </c>
      <c r="B2" s="17" t="s">
        <v>57</v>
      </c>
      <c r="C2" s="17" t="s">
        <v>58</v>
      </c>
      <c r="D2" s="17" t="s">
        <v>59</v>
      </c>
      <c r="E2" s="17" t="s">
        <v>167</v>
      </c>
      <c r="F2" s="17" t="s">
        <v>226</v>
      </c>
      <c r="G2" s="17" t="s">
        <v>1</v>
      </c>
      <c r="H2" s="73" t="s">
        <v>235</v>
      </c>
      <c r="I2" s="21" t="s">
        <v>204</v>
      </c>
      <c r="J2" s="22" t="s">
        <v>205</v>
      </c>
      <c r="K2" s="23" t="s">
        <v>236</v>
      </c>
      <c r="L2" s="24" t="s">
        <v>174</v>
      </c>
      <c r="M2" s="24" t="s">
        <v>198</v>
      </c>
      <c r="N2"/>
    </row>
    <row r="3" spans="1:14" x14ac:dyDescent="0.35">
      <c r="A3" s="69" t="s">
        <v>232</v>
      </c>
      <c r="B3" s="59" t="s">
        <v>7</v>
      </c>
      <c r="C3" s="59" t="s">
        <v>9</v>
      </c>
      <c r="D3" s="59" t="s">
        <v>289</v>
      </c>
      <c r="E3" s="60">
        <v>218.4</v>
      </c>
      <c r="F3" s="61" t="s">
        <v>217</v>
      </c>
      <c r="G3" s="59" t="s">
        <v>2</v>
      </c>
      <c r="H3" s="75" t="s">
        <v>261</v>
      </c>
      <c r="I3" s="32"/>
      <c r="J3" s="70"/>
      <c r="K3" s="71"/>
      <c r="L3" s="64">
        <v>45871</v>
      </c>
      <c r="M3" s="72" t="s">
        <v>175</v>
      </c>
    </row>
    <row r="4" spans="1:14" x14ac:dyDescent="0.35">
      <c r="A4" s="69" t="s">
        <v>260</v>
      </c>
      <c r="B4" s="59" t="s">
        <v>53</v>
      </c>
      <c r="C4" s="59" t="s">
        <v>234</v>
      </c>
      <c r="D4" s="59" t="s">
        <v>294</v>
      </c>
      <c r="E4" s="60">
        <v>50</v>
      </c>
      <c r="F4" s="61" t="s">
        <v>217</v>
      </c>
      <c r="G4" s="59" t="s">
        <v>3</v>
      </c>
      <c r="H4" s="75"/>
      <c r="I4" s="32"/>
      <c r="J4" s="70"/>
      <c r="K4" s="71"/>
      <c r="L4" s="64">
        <v>45873</v>
      </c>
      <c r="M4" s="72" t="s">
        <v>175</v>
      </c>
    </row>
    <row r="5" spans="1:14" x14ac:dyDescent="0.35">
      <c r="A5" s="69" t="s">
        <v>260</v>
      </c>
      <c r="B5" s="59" t="s">
        <v>7</v>
      </c>
      <c r="C5" s="59" t="s">
        <v>70</v>
      </c>
      <c r="D5" s="59" t="s">
        <v>290</v>
      </c>
      <c r="E5" s="60">
        <v>55.9</v>
      </c>
      <c r="F5" s="61" t="s">
        <v>217</v>
      </c>
      <c r="G5" s="59" t="s">
        <v>2</v>
      </c>
      <c r="H5" s="75" t="s">
        <v>262</v>
      </c>
      <c r="I5" s="32"/>
      <c r="J5" s="70"/>
      <c r="K5" s="71"/>
      <c r="L5" s="64">
        <v>45876</v>
      </c>
      <c r="M5" s="72" t="s">
        <v>227</v>
      </c>
    </row>
    <row r="6" spans="1:14" x14ac:dyDescent="0.35">
      <c r="A6" s="69" t="s">
        <v>232</v>
      </c>
      <c r="B6" s="59" t="s">
        <v>50</v>
      </c>
      <c r="C6" s="59" t="s">
        <v>220</v>
      </c>
      <c r="D6" s="59" t="s">
        <v>295</v>
      </c>
      <c r="E6" s="60">
        <v>103.4</v>
      </c>
      <c r="F6" s="61" t="s">
        <v>217</v>
      </c>
      <c r="G6" s="59" t="s">
        <v>2</v>
      </c>
      <c r="H6" s="75" t="s">
        <v>261</v>
      </c>
      <c r="I6" s="32"/>
      <c r="J6" s="70"/>
      <c r="K6" s="71"/>
      <c r="L6" s="64">
        <v>45878</v>
      </c>
      <c r="M6" s="72" t="s">
        <v>175</v>
      </c>
    </row>
    <row r="7" spans="1:14" x14ac:dyDescent="0.35">
      <c r="A7" s="69" t="s">
        <v>232</v>
      </c>
      <c r="B7" s="59" t="s">
        <v>53</v>
      </c>
      <c r="C7" s="59" t="s">
        <v>152</v>
      </c>
      <c r="D7" s="59" t="s">
        <v>293</v>
      </c>
      <c r="E7" s="60">
        <v>41</v>
      </c>
      <c r="F7" s="61" t="s">
        <v>217</v>
      </c>
      <c r="G7" s="59" t="s">
        <v>2</v>
      </c>
      <c r="H7" s="75" t="s">
        <v>261</v>
      </c>
      <c r="I7" s="32"/>
      <c r="J7" s="70"/>
      <c r="K7" s="71"/>
      <c r="L7" s="64">
        <v>45880</v>
      </c>
      <c r="M7" s="72" t="s">
        <v>208</v>
      </c>
    </row>
    <row r="8" spans="1:14" x14ac:dyDescent="0.35">
      <c r="A8" s="69" t="s">
        <v>210</v>
      </c>
      <c r="B8" s="59" t="s">
        <v>34</v>
      </c>
      <c r="C8" s="59" t="s">
        <v>35</v>
      </c>
      <c r="D8" s="59" t="s">
        <v>299</v>
      </c>
      <c r="E8" s="60">
        <v>210</v>
      </c>
      <c r="F8" s="61" t="s">
        <v>217</v>
      </c>
      <c r="G8" s="59" t="s">
        <v>2</v>
      </c>
      <c r="H8" s="75" t="s">
        <v>263</v>
      </c>
      <c r="I8" s="32"/>
      <c r="J8" s="70"/>
      <c r="K8" s="71"/>
      <c r="L8" s="64">
        <v>45883</v>
      </c>
      <c r="M8" s="72" t="s">
        <v>208</v>
      </c>
    </row>
    <row r="9" spans="1:14" x14ac:dyDescent="0.35">
      <c r="A9" s="69" t="s">
        <v>232</v>
      </c>
      <c r="B9" s="59" t="s">
        <v>7</v>
      </c>
      <c r="C9" s="59" t="s">
        <v>69</v>
      </c>
      <c r="D9" s="59" t="s">
        <v>291</v>
      </c>
      <c r="E9" s="60">
        <v>71.8</v>
      </c>
      <c r="F9" s="61" t="s">
        <v>217</v>
      </c>
      <c r="G9" s="59" t="s">
        <v>2</v>
      </c>
      <c r="H9" s="75" t="s">
        <v>261</v>
      </c>
      <c r="I9" s="32"/>
      <c r="J9" s="70"/>
      <c r="K9" s="71"/>
      <c r="L9" s="64">
        <v>45885</v>
      </c>
      <c r="M9" s="72" t="s">
        <v>227</v>
      </c>
    </row>
    <row r="10" spans="1:14" x14ac:dyDescent="0.35">
      <c r="A10" s="69" t="s">
        <v>209</v>
      </c>
      <c r="B10" s="59" t="s">
        <v>50</v>
      </c>
      <c r="C10" s="59" t="s">
        <v>51</v>
      </c>
      <c r="D10" s="59" t="s">
        <v>296</v>
      </c>
      <c r="E10" s="60">
        <v>109.8</v>
      </c>
      <c r="F10" s="61" t="s">
        <v>217</v>
      </c>
      <c r="G10" s="59" t="s">
        <v>2</v>
      </c>
      <c r="H10" s="75" t="s">
        <v>263</v>
      </c>
      <c r="I10" s="32">
        <v>5</v>
      </c>
      <c r="J10" s="38" t="s">
        <v>444</v>
      </c>
      <c r="K10" s="71" t="s">
        <v>443</v>
      </c>
      <c r="L10" s="64">
        <v>45888</v>
      </c>
      <c r="M10" s="72" t="s">
        <v>175</v>
      </c>
    </row>
    <row r="11" spans="1:14" x14ac:dyDescent="0.35">
      <c r="A11" s="69" t="s">
        <v>232</v>
      </c>
      <c r="B11" s="59" t="s">
        <v>43</v>
      </c>
      <c r="C11" s="59" t="s">
        <v>46</v>
      </c>
      <c r="D11" s="59" t="s">
        <v>300</v>
      </c>
      <c r="E11" s="60">
        <v>63.5</v>
      </c>
      <c r="F11" s="61" t="s">
        <v>217</v>
      </c>
      <c r="G11" s="59" t="s">
        <v>157</v>
      </c>
      <c r="H11" s="75"/>
      <c r="I11" s="32"/>
      <c r="J11" s="70"/>
      <c r="K11" s="71"/>
      <c r="L11" s="64">
        <v>45889</v>
      </c>
      <c r="M11" s="72" t="s">
        <v>175</v>
      </c>
    </row>
    <row r="12" spans="1:14" x14ac:dyDescent="0.35">
      <c r="A12" s="69" t="s">
        <v>232</v>
      </c>
      <c r="B12" s="59" t="s">
        <v>50</v>
      </c>
      <c r="C12" s="59" t="s">
        <v>173</v>
      </c>
      <c r="D12" s="59" t="s">
        <v>288</v>
      </c>
      <c r="E12" s="60">
        <v>88.33</v>
      </c>
      <c r="F12" s="61" t="s">
        <v>217</v>
      </c>
      <c r="G12" s="59" t="s">
        <v>2</v>
      </c>
      <c r="H12" s="75" t="s">
        <v>261</v>
      </c>
      <c r="I12" s="32">
        <v>3</v>
      </c>
      <c r="J12" s="38" t="s">
        <v>433</v>
      </c>
      <c r="K12" s="71" t="s">
        <v>442</v>
      </c>
      <c r="L12" s="64">
        <v>45891</v>
      </c>
      <c r="M12" s="72" t="s">
        <v>227</v>
      </c>
    </row>
    <row r="13" spans="1:14" x14ac:dyDescent="0.35">
      <c r="A13" s="69" t="s">
        <v>260</v>
      </c>
      <c r="B13" s="59" t="s">
        <v>50</v>
      </c>
      <c r="C13" s="59" t="s">
        <v>173</v>
      </c>
      <c r="D13" s="59" t="s">
        <v>297</v>
      </c>
      <c r="E13" s="60">
        <v>99</v>
      </c>
      <c r="F13" s="61" t="s">
        <v>217</v>
      </c>
      <c r="G13" s="59" t="s">
        <v>2</v>
      </c>
      <c r="H13" s="75" t="s">
        <v>262</v>
      </c>
      <c r="I13" s="32">
        <v>2</v>
      </c>
      <c r="J13" s="38" t="s">
        <v>241</v>
      </c>
      <c r="K13" s="71" t="s">
        <v>449</v>
      </c>
      <c r="L13" s="64">
        <v>45892</v>
      </c>
      <c r="M13" s="72" t="s">
        <v>175</v>
      </c>
    </row>
    <row r="14" spans="1:14" x14ac:dyDescent="0.35">
      <c r="A14" s="69" t="s">
        <v>210</v>
      </c>
      <c r="B14" s="59" t="s">
        <v>7</v>
      </c>
      <c r="C14" s="59" t="s">
        <v>8</v>
      </c>
      <c r="D14" s="59" t="s">
        <v>292</v>
      </c>
      <c r="E14" s="60">
        <v>68.5</v>
      </c>
      <c r="F14" s="61" t="s">
        <v>217</v>
      </c>
      <c r="G14" s="59" t="s">
        <v>2</v>
      </c>
      <c r="H14" s="75" t="s">
        <v>263</v>
      </c>
      <c r="I14" s="32"/>
      <c r="J14" s="70"/>
      <c r="K14" s="71"/>
      <c r="L14" s="64">
        <v>45893</v>
      </c>
      <c r="M14" s="72" t="s">
        <v>175</v>
      </c>
    </row>
    <row r="15" spans="1:14" x14ac:dyDescent="0.35">
      <c r="A15" s="69" t="s">
        <v>232</v>
      </c>
      <c r="B15" s="59" t="s">
        <v>50</v>
      </c>
      <c r="C15" s="59" t="s">
        <v>51</v>
      </c>
      <c r="D15" s="59" t="s">
        <v>285</v>
      </c>
      <c r="E15" s="60">
        <v>549.83000000000004</v>
      </c>
      <c r="F15" s="61" t="s">
        <v>217</v>
      </c>
      <c r="G15" s="59" t="s">
        <v>2</v>
      </c>
      <c r="H15" s="75" t="s">
        <v>261</v>
      </c>
      <c r="I15" s="32">
        <v>6</v>
      </c>
      <c r="J15" s="38" t="s">
        <v>440</v>
      </c>
      <c r="K15" s="71" t="s">
        <v>435</v>
      </c>
      <c r="L15" s="64">
        <v>45893</v>
      </c>
      <c r="M15" s="72" t="s">
        <v>227</v>
      </c>
    </row>
    <row r="16" spans="1:14" x14ac:dyDescent="0.35">
      <c r="A16" s="69" t="s">
        <v>232</v>
      </c>
      <c r="B16" s="59" t="s">
        <v>197</v>
      </c>
      <c r="C16" s="59" t="s">
        <v>84</v>
      </c>
      <c r="D16" s="59" t="s">
        <v>298</v>
      </c>
      <c r="E16" s="60">
        <v>145</v>
      </c>
      <c r="F16" s="61" t="s">
        <v>217</v>
      </c>
      <c r="G16" s="59" t="s">
        <v>2</v>
      </c>
      <c r="H16" s="75" t="s">
        <v>261</v>
      </c>
      <c r="I16" s="32"/>
      <c r="J16" s="70"/>
      <c r="K16" s="71"/>
      <c r="L16" s="64">
        <v>45895</v>
      </c>
      <c r="M16" s="72" t="s">
        <v>175</v>
      </c>
    </row>
    <row r="17" spans="1:13" x14ac:dyDescent="0.35">
      <c r="A17" s="69" t="s">
        <v>209</v>
      </c>
      <c r="B17" s="59" t="s">
        <v>63</v>
      </c>
      <c r="C17" s="59" t="s">
        <v>231</v>
      </c>
      <c r="D17" s="59" t="s">
        <v>301</v>
      </c>
      <c r="E17" s="60">
        <v>49</v>
      </c>
      <c r="F17" s="61" t="s">
        <v>217</v>
      </c>
      <c r="G17" s="59" t="s">
        <v>4</v>
      </c>
      <c r="H17" s="75"/>
      <c r="I17" s="32"/>
      <c r="J17" s="70"/>
      <c r="K17" s="71"/>
      <c r="L17" s="64">
        <v>45896</v>
      </c>
      <c r="M17" s="72" t="s">
        <v>223</v>
      </c>
    </row>
    <row r="18" spans="1:13" x14ac:dyDescent="0.35">
      <c r="A18" s="69" t="s">
        <v>232</v>
      </c>
      <c r="B18" s="59" t="s">
        <v>36</v>
      </c>
      <c r="C18" s="59" t="s">
        <v>128</v>
      </c>
      <c r="D18" s="59" t="s">
        <v>302</v>
      </c>
      <c r="E18" s="60">
        <v>149</v>
      </c>
      <c r="F18" s="61" t="s">
        <v>218</v>
      </c>
      <c r="G18" s="59" t="s">
        <v>4</v>
      </c>
      <c r="H18" s="75"/>
      <c r="I18" s="32"/>
      <c r="J18" s="70"/>
      <c r="K18" s="71"/>
      <c r="L18" s="64">
        <v>45897</v>
      </c>
      <c r="M18" s="72" t="s">
        <v>223</v>
      </c>
    </row>
    <row r="19" spans="1:13" x14ac:dyDescent="0.35">
      <c r="A19" s="69" t="s">
        <v>260</v>
      </c>
      <c r="B19" s="59" t="s">
        <v>53</v>
      </c>
      <c r="C19" s="59" t="s">
        <v>234</v>
      </c>
      <c r="D19" s="59" t="s">
        <v>309</v>
      </c>
      <c r="E19" s="60">
        <v>50</v>
      </c>
      <c r="F19" s="61" t="s">
        <v>217</v>
      </c>
      <c r="G19" s="59" t="s">
        <v>3</v>
      </c>
      <c r="H19" s="75"/>
      <c r="I19" s="32"/>
      <c r="J19" s="70"/>
      <c r="K19" s="71"/>
      <c r="L19" s="64">
        <v>45901</v>
      </c>
      <c r="M19" s="72" t="s">
        <v>175</v>
      </c>
    </row>
    <row r="20" spans="1:13" x14ac:dyDescent="0.35">
      <c r="A20" s="69" t="s">
        <v>232</v>
      </c>
      <c r="B20" s="59" t="s">
        <v>7</v>
      </c>
      <c r="C20" s="59" t="s">
        <v>9</v>
      </c>
      <c r="D20" s="59" t="s">
        <v>303</v>
      </c>
      <c r="E20" s="60">
        <v>209.8</v>
      </c>
      <c r="F20" s="61" t="s">
        <v>217</v>
      </c>
      <c r="G20" s="59" t="s">
        <v>172</v>
      </c>
      <c r="H20" s="75"/>
      <c r="I20" s="32"/>
      <c r="J20" s="70"/>
      <c r="K20" s="71"/>
      <c r="L20" s="64">
        <v>45903</v>
      </c>
      <c r="M20" s="72" t="s">
        <v>175</v>
      </c>
    </row>
    <row r="21" spans="1:13" x14ac:dyDescent="0.35">
      <c r="A21" s="69" t="s">
        <v>232</v>
      </c>
      <c r="B21" s="59" t="s">
        <v>50</v>
      </c>
      <c r="C21" s="59" t="s">
        <v>220</v>
      </c>
      <c r="D21" s="59" t="s">
        <v>310</v>
      </c>
      <c r="E21" s="60">
        <v>118.6</v>
      </c>
      <c r="F21" s="61" t="s">
        <v>217</v>
      </c>
      <c r="G21" s="59" t="s">
        <v>2</v>
      </c>
      <c r="H21" s="75" t="s">
        <v>261</v>
      </c>
      <c r="I21" s="32"/>
      <c r="J21" s="70"/>
      <c r="K21" s="71"/>
      <c r="L21" s="64">
        <v>45906</v>
      </c>
      <c r="M21" s="72" t="s">
        <v>227</v>
      </c>
    </row>
    <row r="22" spans="1:13" x14ac:dyDescent="0.35">
      <c r="A22" s="69" t="s">
        <v>232</v>
      </c>
      <c r="B22" s="59" t="s">
        <v>53</v>
      </c>
      <c r="C22" s="59" t="s">
        <v>152</v>
      </c>
      <c r="D22" s="59" t="s">
        <v>308</v>
      </c>
      <c r="E22" s="60">
        <v>39</v>
      </c>
      <c r="F22" s="61" t="s">
        <v>217</v>
      </c>
      <c r="G22" s="59" t="s">
        <v>2</v>
      </c>
      <c r="H22" s="75" t="s">
        <v>261</v>
      </c>
      <c r="I22" s="32"/>
      <c r="J22" s="70"/>
      <c r="K22" s="71"/>
      <c r="L22" s="64">
        <v>45908</v>
      </c>
      <c r="M22" s="72" t="s">
        <v>227</v>
      </c>
    </row>
    <row r="23" spans="1:13" x14ac:dyDescent="0.35">
      <c r="A23" s="69" t="s">
        <v>210</v>
      </c>
      <c r="B23" s="59" t="s">
        <v>7</v>
      </c>
      <c r="C23" s="59" t="s">
        <v>70</v>
      </c>
      <c r="D23" s="59" t="s">
        <v>304</v>
      </c>
      <c r="E23" s="60">
        <v>42.9</v>
      </c>
      <c r="F23" s="61" t="s">
        <v>217</v>
      </c>
      <c r="G23" s="59" t="s">
        <v>2</v>
      </c>
      <c r="H23" s="75" t="s">
        <v>263</v>
      </c>
      <c r="I23" s="32"/>
      <c r="J23" s="70"/>
      <c r="K23" s="71"/>
      <c r="L23" s="64">
        <v>45909</v>
      </c>
      <c r="M23" s="72" t="s">
        <v>208</v>
      </c>
    </row>
    <row r="24" spans="1:13" x14ac:dyDescent="0.35">
      <c r="A24" s="69" t="s">
        <v>260</v>
      </c>
      <c r="B24" s="59" t="s">
        <v>7</v>
      </c>
      <c r="C24" s="59" t="s">
        <v>69</v>
      </c>
      <c r="D24" s="59" t="s">
        <v>305</v>
      </c>
      <c r="E24" s="60">
        <v>58.3</v>
      </c>
      <c r="F24" s="61" t="s">
        <v>217</v>
      </c>
      <c r="G24" s="59" t="s">
        <v>2</v>
      </c>
      <c r="H24" s="75" t="s">
        <v>262</v>
      </c>
      <c r="I24" s="32"/>
      <c r="J24" s="70"/>
      <c r="K24" s="71"/>
      <c r="L24" s="64">
        <v>45912</v>
      </c>
      <c r="M24" s="72" t="s">
        <v>175</v>
      </c>
    </row>
    <row r="25" spans="1:13" x14ac:dyDescent="0.35">
      <c r="A25" s="69" t="s">
        <v>209</v>
      </c>
      <c r="B25" s="59" t="s">
        <v>50</v>
      </c>
      <c r="C25" s="59" t="s">
        <v>219</v>
      </c>
      <c r="D25" s="59" t="s">
        <v>311</v>
      </c>
      <c r="E25" s="60">
        <v>73.400000000000006</v>
      </c>
      <c r="F25" s="61" t="s">
        <v>217</v>
      </c>
      <c r="G25" s="59" t="s">
        <v>2</v>
      </c>
      <c r="H25" s="75" t="s">
        <v>263</v>
      </c>
      <c r="I25" s="32"/>
      <c r="J25" s="70"/>
      <c r="K25" s="71"/>
      <c r="L25" s="64">
        <v>45917</v>
      </c>
      <c r="M25" s="72" t="s">
        <v>175</v>
      </c>
    </row>
    <row r="26" spans="1:13" x14ac:dyDescent="0.35">
      <c r="A26" s="69" t="s">
        <v>260</v>
      </c>
      <c r="B26" s="59" t="s">
        <v>197</v>
      </c>
      <c r="C26" s="59" t="s">
        <v>17</v>
      </c>
      <c r="D26" s="59" t="s">
        <v>312</v>
      </c>
      <c r="E26" s="60">
        <v>55</v>
      </c>
      <c r="F26" s="61" t="s">
        <v>217</v>
      </c>
      <c r="G26" s="59" t="s">
        <v>4</v>
      </c>
      <c r="H26" s="75"/>
      <c r="I26" s="32"/>
      <c r="J26" s="70"/>
      <c r="K26" s="71"/>
      <c r="L26" s="64">
        <v>45918</v>
      </c>
      <c r="M26" s="72" t="s">
        <v>227</v>
      </c>
    </row>
    <row r="27" spans="1:13" x14ac:dyDescent="0.35">
      <c r="A27" s="69" t="s">
        <v>209</v>
      </c>
      <c r="B27" s="59" t="s">
        <v>50</v>
      </c>
      <c r="C27" s="59" t="s">
        <v>51</v>
      </c>
      <c r="D27" s="59" t="s">
        <v>296</v>
      </c>
      <c r="E27" s="60">
        <v>109.8</v>
      </c>
      <c r="F27" s="61" t="s">
        <v>217</v>
      </c>
      <c r="G27" s="59" t="s">
        <v>2</v>
      </c>
      <c r="H27" s="75" t="s">
        <v>263</v>
      </c>
      <c r="I27" s="32">
        <v>5</v>
      </c>
      <c r="J27" s="38" t="s">
        <v>445</v>
      </c>
      <c r="K27" s="71" t="s">
        <v>443</v>
      </c>
      <c r="L27" s="64">
        <v>45919</v>
      </c>
      <c r="M27" s="72" t="s">
        <v>227</v>
      </c>
    </row>
    <row r="28" spans="1:13" x14ac:dyDescent="0.35">
      <c r="A28" s="69" t="s">
        <v>232</v>
      </c>
      <c r="B28" s="59" t="s">
        <v>7</v>
      </c>
      <c r="C28" s="59" t="s">
        <v>8</v>
      </c>
      <c r="D28" s="59" t="s">
        <v>306</v>
      </c>
      <c r="E28" s="60">
        <v>115</v>
      </c>
      <c r="F28" s="61" t="s">
        <v>217</v>
      </c>
      <c r="G28" s="59" t="s">
        <v>2</v>
      </c>
      <c r="H28" s="75" t="s">
        <v>261</v>
      </c>
      <c r="I28" s="32"/>
      <c r="J28" s="70"/>
      <c r="K28" s="71"/>
      <c r="L28" s="64">
        <v>45920</v>
      </c>
      <c r="M28" s="72" t="s">
        <v>208</v>
      </c>
    </row>
    <row r="29" spans="1:13" x14ac:dyDescent="0.35">
      <c r="A29" s="69" t="s">
        <v>210</v>
      </c>
      <c r="B29" s="59" t="s">
        <v>34</v>
      </c>
      <c r="C29" s="59" t="s">
        <v>254</v>
      </c>
      <c r="D29" s="59" t="s">
        <v>313</v>
      </c>
      <c r="E29" s="60">
        <v>78</v>
      </c>
      <c r="F29" s="61" t="s">
        <v>217</v>
      </c>
      <c r="G29" s="59" t="s">
        <v>2</v>
      </c>
      <c r="H29" s="75" t="s">
        <v>263</v>
      </c>
      <c r="I29" s="32"/>
      <c r="J29" s="70"/>
      <c r="K29" s="71"/>
      <c r="L29" s="64">
        <v>45922</v>
      </c>
      <c r="M29" s="72" t="s">
        <v>175</v>
      </c>
    </row>
    <row r="30" spans="1:13" x14ac:dyDescent="0.35">
      <c r="A30" s="69" t="s">
        <v>232</v>
      </c>
      <c r="B30" s="59" t="s">
        <v>50</v>
      </c>
      <c r="C30" s="59" t="s">
        <v>173</v>
      </c>
      <c r="D30" s="59" t="s">
        <v>288</v>
      </c>
      <c r="E30" s="60">
        <v>88.33</v>
      </c>
      <c r="F30" s="61" t="s">
        <v>217</v>
      </c>
      <c r="G30" s="59" t="s">
        <v>2</v>
      </c>
      <c r="H30" s="75" t="s">
        <v>261</v>
      </c>
      <c r="I30" s="32">
        <v>3</v>
      </c>
      <c r="J30" s="38" t="s">
        <v>434</v>
      </c>
      <c r="K30" s="71" t="s">
        <v>442</v>
      </c>
      <c r="L30" s="64">
        <v>45922</v>
      </c>
      <c r="M30" s="72" t="s">
        <v>227</v>
      </c>
    </row>
    <row r="31" spans="1:13" x14ac:dyDescent="0.35">
      <c r="A31" s="69" t="s">
        <v>232</v>
      </c>
      <c r="B31" s="59" t="s">
        <v>43</v>
      </c>
      <c r="C31" s="59" t="s">
        <v>130</v>
      </c>
      <c r="D31" s="59" t="s">
        <v>314</v>
      </c>
      <c r="E31" s="60">
        <v>220</v>
      </c>
      <c r="F31" s="61" t="s">
        <v>217</v>
      </c>
      <c r="G31" s="59" t="s">
        <v>2</v>
      </c>
      <c r="H31" s="75" t="s">
        <v>261</v>
      </c>
      <c r="I31" s="32"/>
      <c r="J31" s="70"/>
      <c r="K31" s="71"/>
      <c r="L31" s="64">
        <v>45923</v>
      </c>
      <c r="M31" s="72" t="s">
        <v>175</v>
      </c>
    </row>
    <row r="32" spans="1:13" x14ac:dyDescent="0.35">
      <c r="A32" s="69" t="s">
        <v>260</v>
      </c>
      <c r="B32" s="59" t="s">
        <v>50</v>
      </c>
      <c r="C32" s="59" t="s">
        <v>173</v>
      </c>
      <c r="D32" s="59" t="s">
        <v>297</v>
      </c>
      <c r="E32" s="60">
        <v>99</v>
      </c>
      <c r="F32" s="61" t="s">
        <v>217</v>
      </c>
      <c r="G32" s="59" t="s">
        <v>2</v>
      </c>
      <c r="H32" s="75" t="s">
        <v>262</v>
      </c>
      <c r="I32" s="32">
        <v>2</v>
      </c>
      <c r="J32" s="38" t="s">
        <v>242</v>
      </c>
      <c r="K32" s="71" t="s">
        <v>449</v>
      </c>
      <c r="L32" s="64">
        <v>45923</v>
      </c>
      <c r="M32" s="72" t="s">
        <v>227</v>
      </c>
    </row>
    <row r="33" spans="1:13" x14ac:dyDescent="0.35">
      <c r="A33" s="69" t="s">
        <v>232</v>
      </c>
      <c r="B33" s="59" t="s">
        <v>50</v>
      </c>
      <c r="C33" s="59" t="s">
        <v>51</v>
      </c>
      <c r="D33" s="59" t="s">
        <v>285</v>
      </c>
      <c r="E33" s="60">
        <v>549.83000000000004</v>
      </c>
      <c r="F33" s="61" t="s">
        <v>217</v>
      </c>
      <c r="G33" s="59" t="s">
        <v>2</v>
      </c>
      <c r="H33" s="75" t="s">
        <v>261</v>
      </c>
      <c r="I33" s="32">
        <v>6</v>
      </c>
      <c r="J33" s="38" t="s">
        <v>441</v>
      </c>
      <c r="K33" s="71" t="s">
        <v>435</v>
      </c>
      <c r="L33" s="64">
        <v>45924</v>
      </c>
      <c r="M33" s="72" t="s">
        <v>227</v>
      </c>
    </row>
    <row r="34" spans="1:13" x14ac:dyDescent="0.35">
      <c r="A34" s="69" t="s">
        <v>209</v>
      </c>
      <c r="B34" s="59" t="s">
        <v>7</v>
      </c>
      <c r="C34" s="59" t="s">
        <v>73</v>
      </c>
      <c r="D34" s="59" t="s">
        <v>307</v>
      </c>
      <c r="E34" s="60">
        <v>27.5</v>
      </c>
      <c r="F34" s="61" t="s">
        <v>217</v>
      </c>
      <c r="G34" s="59" t="s">
        <v>5</v>
      </c>
      <c r="H34" s="75"/>
      <c r="I34" s="32"/>
      <c r="J34" s="70"/>
      <c r="K34" s="71"/>
      <c r="L34" s="64">
        <v>45925</v>
      </c>
      <c r="M34" s="72" t="s">
        <v>175</v>
      </c>
    </row>
    <row r="35" spans="1:13" x14ac:dyDescent="0.35">
      <c r="A35" s="69" t="s">
        <v>210</v>
      </c>
      <c r="B35" s="59" t="s">
        <v>63</v>
      </c>
      <c r="C35" s="59" t="s">
        <v>231</v>
      </c>
      <c r="D35" s="59" t="s">
        <v>315</v>
      </c>
      <c r="E35" s="60">
        <v>55</v>
      </c>
      <c r="F35" s="61" t="s">
        <v>217</v>
      </c>
      <c r="G35" s="59" t="s">
        <v>4</v>
      </c>
      <c r="H35" s="75"/>
      <c r="I35" s="32"/>
      <c r="J35" s="70"/>
      <c r="K35" s="71"/>
      <c r="L35" s="64">
        <v>45926</v>
      </c>
      <c r="M35" s="72" t="s">
        <v>175</v>
      </c>
    </row>
    <row r="36" spans="1:13" x14ac:dyDescent="0.35">
      <c r="A36" s="69" t="s">
        <v>260</v>
      </c>
      <c r="B36" s="59" t="s">
        <v>53</v>
      </c>
      <c r="C36" s="59" t="s">
        <v>234</v>
      </c>
      <c r="D36" s="59" t="s">
        <v>322</v>
      </c>
      <c r="E36" s="60">
        <v>50</v>
      </c>
      <c r="F36" s="61" t="s">
        <v>217</v>
      </c>
      <c r="G36" s="59" t="s">
        <v>3</v>
      </c>
      <c r="H36" s="75"/>
      <c r="I36" s="32"/>
      <c r="J36" s="70"/>
      <c r="K36" s="71"/>
      <c r="L36" s="64">
        <v>45932</v>
      </c>
      <c r="M36" s="72" t="s">
        <v>175</v>
      </c>
    </row>
    <row r="37" spans="1:13" x14ac:dyDescent="0.35">
      <c r="A37" s="69" t="s">
        <v>232</v>
      </c>
      <c r="B37" s="59" t="s">
        <v>7</v>
      </c>
      <c r="C37" s="59" t="s">
        <v>9</v>
      </c>
      <c r="D37" s="59" t="s">
        <v>316</v>
      </c>
      <c r="E37" s="60">
        <v>235.2</v>
      </c>
      <c r="F37" s="61" t="s">
        <v>217</v>
      </c>
      <c r="G37" s="59" t="s">
        <v>157</v>
      </c>
      <c r="H37" s="75"/>
      <c r="I37" s="32"/>
      <c r="J37" s="70"/>
      <c r="K37" s="71"/>
      <c r="L37" s="64">
        <v>45934</v>
      </c>
      <c r="M37" s="72" t="s">
        <v>175</v>
      </c>
    </row>
    <row r="38" spans="1:13" x14ac:dyDescent="0.35">
      <c r="A38" s="69" t="s">
        <v>232</v>
      </c>
      <c r="B38" s="59" t="s">
        <v>53</v>
      </c>
      <c r="C38" s="59" t="s">
        <v>152</v>
      </c>
      <c r="D38" s="59" t="s">
        <v>321</v>
      </c>
      <c r="E38" s="60">
        <v>47</v>
      </c>
      <c r="F38" s="61" t="s">
        <v>217</v>
      </c>
      <c r="G38" s="59" t="s">
        <v>2</v>
      </c>
      <c r="H38" s="75" t="s">
        <v>261</v>
      </c>
      <c r="I38" s="32"/>
      <c r="J38" s="70"/>
      <c r="K38" s="71"/>
      <c r="L38" s="64">
        <v>45937</v>
      </c>
      <c r="M38" s="72" t="s">
        <v>175</v>
      </c>
    </row>
    <row r="39" spans="1:13" x14ac:dyDescent="0.35">
      <c r="A39" s="69" t="s">
        <v>210</v>
      </c>
      <c r="B39" s="59" t="s">
        <v>7</v>
      </c>
      <c r="C39" s="59" t="s">
        <v>70</v>
      </c>
      <c r="D39" s="59" t="s">
        <v>317</v>
      </c>
      <c r="E39" s="60">
        <v>49.9</v>
      </c>
      <c r="F39" s="61" t="s">
        <v>217</v>
      </c>
      <c r="G39" s="59" t="s">
        <v>2</v>
      </c>
      <c r="H39" s="75" t="s">
        <v>263</v>
      </c>
      <c r="I39" s="32"/>
      <c r="J39" s="70"/>
      <c r="K39" s="71"/>
      <c r="L39" s="64">
        <v>45938</v>
      </c>
      <c r="M39" s="72" t="s">
        <v>175</v>
      </c>
    </row>
    <row r="40" spans="1:13" x14ac:dyDescent="0.35">
      <c r="A40" s="69" t="s">
        <v>232</v>
      </c>
      <c r="B40" s="59" t="s">
        <v>34</v>
      </c>
      <c r="C40" s="59" t="s">
        <v>191</v>
      </c>
      <c r="D40" s="59" t="s">
        <v>327</v>
      </c>
      <c r="E40" s="60">
        <v>89.9</v>
      </c>
      <c r="F40" s="61" t="s">
        <v>217</v>
      </c>
      <c r="G40" s="59" t="s">
        <v>2</v>
      </c>
      <c r="H40" s="75" t="s">
        <v>261</v>
      </c>
      <c r="I40" s="32"/>
      <c r="J40" s="70"/>
      <c r="K40" s="71"/>
      <c r="L40" s="64">
        <v>45940</v>
      </c>
      <c r="M40" s="72" t="s">
        <v>227</v>
      </c>
    </row>
    <row r="41" spans="1:13" x14ac:dyDescent="0.35">
      <c r="A41" s="69" t="s">
        <v>260</v>
      </c>
      <c r="B41" s="59" t="s">
        <v>7</v>
      </c>
      <c r="C41" s="59" t="s">
        <v>69</v>
      </c>
      <c r="D41" s="59" t="s">
        <v>318</v>
      </c>
      <c r="E41" s="60">
        <v>66.7</v>
      </c>
      <c r="F41" s="61" t="s">
        <v>217</v>
      </c>
      <c r="G41" s="59" t="s">
        <v>2</v>
      </c>
      <c r="H41" s="75" t="s">
        <v>262</v>
      </c>
      <c r="I41" s="32"/>
      <c r="J41" s="70"/>
      <c r="K41" s="71"/>
      <c r="L41" s="64">
        <v>45941</v>
      </c>
      <c r="M41" s="72" t="s">
        <v>227</v>
      </c>
    </row>
    <row r="42" spans="1:13" x14ac:dyDescent="0.35">
      <c r="A42" s="69" t="s">
        <v>232</v>
      </c>
      <c r="B42" s="59" t="s">
        <v>53</v>
      </c>
      <c r="C42" s="59" t="s">
        <v>196</v>
      </c>
      <c r="D42" s="59" t="s">
        <v>323</v>
      </c>
      <c r="E42" s="60">
        <v>185</v>
      </c>
      <c r="F42" s="61" t="s">
        <v>217</v>
      </c>
      <c r="G42" s="59" t="s">
        <v>2</v>
      </c>
      <c r="H42" s="75" t="s">
        <v>261</v>
      </c>
      <c r="I42" s="32"/>
      <c r="J42" s="70"/>
      <c r="K42" s="71"/>
      <c r="L42" s="64">
        <v>45945</v>
      </c>
      <c r="M42" s="72" t="s">
        <v>175</v>
      </c>
    </row>
    <row r="43" spans="1:13" x14ac:dyDescent="0.35">
      <c r="A43" s="69" t="s">
        <v>232</v>
      </c>
      <c r="B43" s="59" t="s">
        <v>50</v>
      </c>
      <c r="C43" s="59" t="s">
        <v>173</v>
      </c>
      <c r="D43" s="59" t="s">
        <v>324</v>
      </c>
      <c r="E43" s="60">
        <v>74.33</v>
      </c>
      <c r="F43" s="61" t="s">
        <v>217</v>
      </c>
      <c r="G43" s="59" t="s">
        <v>2</v>
      </c>
      <c r="H43" s="75" t="s">
        <v>261</v>
      </c>
      <c r="I43" s="32">
        <v>3</v>
      </c>
      <c r="J43" s="38" t="s">
        <v>432</v>
      </c>
      <c r="K43" s="71" t="s">
        <v>450</v>
      </c>
      <c r="L43" s="64">
        <v>45947</v>
      </c>
      <c r="M43" s="72" t="s">
        <v>175</v>
      </c>
    </row>
    <row r="44" spans="1:13" x14ac:dyDescent="0.35">
      <c r="A44" s="69" t="s">
        <v>232</v>
      </c>
      <c r="B44" s="59" t="s">
        <v>7</v>
      </c>
      <c r="C44" s="59" t="s">
        <v>72</v>
      </c>
      <c r="D44" s="59" t="s">
        <v>319</v>
      </c>
      <c r="E44" s="60">
        <v>48.5</v>
      </c>
      <c r="F44" s="61" t="s">
        <v>217</v>
      </c>
      <c r="G44" s="59" t="s">
        <v>5</v>
      </c>
      <c r="H44" s="75"/>
      <c r="I44" s="32"/>
      <c r="J44" s="70"/>
      <c r="K44" s="71"/>
      <c r="L44" s="64">
        <v>45948</v>
      </c>
      <c r="M44" s="72" t="s">
        <v>227</v>
      </c>
    </row>
    <row r="45" spans="1:13" x14ac:dyDescent="0.35">
      <c r="A45" s="69" t="s">
        <v>209</v>
      </c>
      <c r="B45" s="59" t="s">
        <v>50</v>
      </c>
      <c r="C45" s="59" t="s">
        <v>51</v>
      </c>
      <c r="D45" s="59" t="s">
        <v>296</v>
      </c>
      <c r="E45" s="60">
        <v>109.8</v>
      </c>
      <c r="F45" s="61" t="s">
        <v>217</v>
      </c>
      <c r="G45" s="59" t="s">
        <v>2</v>
      </c>
      <c r="H45" s="75" t="s">
        <v>263</v>
      </c>
      <c r="I45" s="32">
        <v>5</v>
      </c>
      <c r="J45" s="38" t="s">
        <v>446</v>
      </c>
      <c r="K45" s="71" t="s">
        <v>443</v>
      </c>
      <c r="L45" s="64">
        <v>45949</v>
      </c>
      <c r="M45" s="72" t="s">
        <v>227</v>
      </c>
    </row>
    <row r="46" spans="1:13" x14ac:dyDescent="0.35">
      <c r="A46" s="69" t="s">
        <v>209</v>
      </c>
      <c r="B46" s="59" t="s">
        <v>50</v>
      </c>
      <c r="C46" s="59" t="s">
        <v>221</v>
      </c>
      <c r="D46" s="59" t="s">
        <v>325</v>
      </c>
      <c r="E46" s="60">
        <v>94.5</v>
      </c>
      <c r="F46" s="61" t="s">
        <v>217</v>
      </c>
      <c r="G46" s="59" t="s">
        <v>2</v>
      </c>
      <c r="H46" s="75" t="s">
        <v>263</v>
      </c>
      <c r="I46" s="32"/>
      <c r="J46" s="70"/>
      <c r="K46" s="71"/>
      <c r="L46" s="64">
        <v>45951</v>
      </c>
      <c r="M46" s="72" t="s">
        <v>175</v>
      </c>
    </row>
    <row r="47" spans="1:13" x14ac:dyDescent="0.35">
      <c r="A47" s="69" t="s">
        <v>209</v>
      </c>
      <c r="B47" s="59" t="s">
        <v>7</v>
      </c>
      <c r="C47" s="59" t="s">
        <v>8</v>
      </c>
      <c r="D47" s="59" t="s">
        <v>320</v>
      </c>
      <c r="E47" s="60">
        <v>82</v>
      </c>
      <c r="F47" s="61" t="s">
        <v>217</v>
      </c>
      <c r="G47" s="59" t="s">
        <v>2</v>
      </c>
      <c r="H47" s="75" t="s">
        <v>263</v>
      </c>
      <c r="I47" s="32"/>
      <c r="J47" s="70"/>
      <c r="K47" s="71"/>
      <c r="L47" s="64">
        <v>45953</v>
      </c>
      <c r="M47" s="72" t="s">
        <v>208</v>
      </c>
    </row>
    <row r="48" spans="1:13" x14ac:dyDescent="0.35">
      <c r="A48" s="69" t="s">
        <v>260</v>
      </c>
      <c r="B48" s="59" t="s">
        <v>197</v>
      </c>
      <c r="C48" s="59" t="s">
        <v>18</v>
      </c>
      <c r="D48" s="59" t="s">
        <v>326</v>
      </c>
      <c r="E48" s="60">
        <v>185</v>
      </c>
      <c r="F48" s="61" t="s">
        <v>217</v>
      </c>
      <c r="G48" s="59" t="s">
        <v>2</v>
      </c>
      <c r="H48" s="75" t="s">
        <v>262</v>
      </c>
      <c r="I48" s="32"/>
      <c r="J48" s="70"/>
      <c r="K48" s="71"/>
      <c r="L48" s="64">
        <v>45954</v>
      </c>
      <c r="M48" s="72" t="s">
        <v>175</v>
      </c>
    </row>
    <row r="49" spans="1:13" x14ac:dyDescent="0.35">
      <c r="A49" s="69" t="s">
        <v>210</v>
      </c>
      <c r="B49" s="59" t="s">
        <v>63</v>
      </c>
      <c r="C49" s="59" t="s">
        <v>231</v>
      </c>
      <c r="D49" s="59" t="s">
        <v>328</v>
      </c>
      <c r="E49" s="60">
        <v>72</v>
      </c>
      <c r="F49" s="61" t="s">
        <v>217</v>
      </c>
      <c r="G49" s="59" t="s">
        <v>4</v>
      </c>
      <c r="H49" s="75"/>
      <c r="I49" s="32"/>
      <c r="J49" s="70"/>
      <c r="K49" s="71"/>
      <c r="L49" s="64">
        <v>45959</v>
      </c>
      <c r="M49" s="72" t="s">
        <v>175</v>
      </c>
    </row>
    <row r="50" spans="1:13" x14ac:dyDescent="0.35">
      <c r="A50" s="69" t="s">
        <v>232</v>
      </c>
      <c r="B50" s="59" t="s">
        <v>7</v>
      </c>
      <c r="C50" s="59" t="s">
        <v>9</v>
      </c>
      <c r="D50" s="59" t="s">
        <v>329</v>
      </c>
      <c r="E50" s="60">
        <v>189.5</v>
      </c>
      <c r="F50" s="61" t="s">
        <v>217</v>
      </c>
      <c r="G50" s="59" t="s">
        <v>2</v>
      </c>
      <c r="H50" s="75" t="s">
        <v>261</v>
      </c>
      <c r="I50" s="32"/>
      <c r="J50" s="70"/>
      <c r="K50" s="71"/>
      <c r="L50" s="64">
        <v>45964</v>
      </c>
      <c r="M50" s="72" t="s">
        <v>227</v>
      </c>
    </row>
    <row r="51" spans="1:13" x14ac:dyDescent="0.35">
      <c r="A51" s="69" t="s">
        <v>260</v>
      </c>
      <c r="B51" s="59" t="s">
        <v>53</v>
      </c>
      <c r="C51" s="59" t="s">
        <v>234</v>
      </c>
      <c r="D51" s="59" t="s">
        <v>334</v>
      </c>
      <c r="E51" s="60">
        <v>50</v>
      </c>
      <c r="F51" s="61" t="s">
        <v>217</v>
      </c>
      <c r="G51" s="59" t="s">
        <v>157</v>
      </c>
      <c r="H51" s="75"/>
      <c r="I51" s="32"/>
      <c r="J51" s="70"/>
      <c r="K51" s="71"/>
      <c r="L51" s="64">
        <v>45964</v>
      </c>
      <c r="M51" s="72" t="s">
        <v>175</v>
      </c>
    </row>
    <row r="52" spans="1:13" x14ac:dyDescent="0.35">
      <c r="A52" s="69" t="s">
        <v>210</v>
      </c>
      <c r="B52" s="59" t="s">
        <v>7</v>
      </c>
      <c r="C52" s="59" t="s">
        <v>8</v>
      </c>
      <c r="D52" s="59" t="s">
        <v>330</v>
      </c>
      <c r="E52" s="60">
        <v>67</v>
      </c>
      <c r="F52" s="61" t="s">
        <v>217</v>
      </c>
      <c r="G52" s="59" t="s">
        <v>2</v>
      </c>
      <c r="H52" s="75" t="s">
        <v>263</v>
      </c>
      <c r="I52" s="32"/>
      <c r="J52" s="70"/>
      <c r="K52" s="71"/>
      <c r="L52" s="64">
        <v>45969</v>
      </c>
      <c r="M52" s="72" t="s">
        <v>208</v>
      </c>
    </row>
    <row r="53" spans="1:13" x14ac:dyDescent="0.35">
      <c r="A53" s="69" t="s">
        <v>232</v>
      </c>
      <c r="B53" s="59" t="s">
        <v>53</v>
      </c>
      <c r="C53" s="59" t="s">
        <v>152</v>
      </c>
      <c r="D53" s="59" t="s">
        <v>333</v>
      </c>
      <c r="E53" s="60">
        <v>31</v>
      </c>
      <c r="F53" s="61" t="s">
        <v>217</v>
      </c>
      <c r="G53" s="59" t="s">
        <v>2</v>
      </c>
      <c r="H53" s="75" t="s">
        <v>261</v>
      </c>
      <c r="I53" s="32"/>
      <c r="J53" s="70"/>
      <c r="K53" s="71"/>
      <c r="L53" s="64">
        <v>45971</v>
      </c>
      <c r="M53" s="72" t="s">
        <v>175</v>
      </c>
    </row>
    <row r="54" spans="1:13" x14ac:dyDescent="0.35">
      <c r="A54" s="69" t="s">
        <v>232</v>
      </c>
      <c r="B54" s="59" t="s">
        <v>34</v>
      </c>
      <c r="C54" s="59" t="s">
        <v>191</v>
      </c>
      <c r="D54" s="59" t="s">
        <v>338</v>
      </c>
      <c r="E54" s="60">
        <v>89.9</v>
      </c>
      <c r="F54" s="61" t="s">
        <v>217</v>
      </c>
      <c r="G54" s="59" t="s">
        <v>2</v>
      </c>
      <c r="H54" s="75" t="s">
        <v>261</v>
      </c>
      <c r="I54" s="32"/>
      <c r="J54" s="70"/>
      <c r="K54" s="71"/>
      <c r="L54" s="64">
        <v>45972</v>
      </c>
      <c r="M54" s="72" t="s">
        <v>227</v>
      </c>
    </row>
    <row r="55" spans="1:13" x14ac:dyDescent="0.35">
      <c r="A55" s="69" t="s">
        <v>260</v>
      </c>
      <c r="B55" s="59" t="s">
        <v>7</v>
      </c>
      <c r="C55" s="59" t="s">
        <v>69</v>
      </c>
      <c r="D55" s="59" t="s">
        <v>331</v>
      </c>
      <c r="E55" s="60">
        <v>44.9</v>
      </c>
      <c r="F55" s="61" t="s">
        <v>217</v>
      </c>
      <c r="G55" s="59" t="s">
        <v>2</v>
      </c>
      <c r="H55" s="75" t="s">
        <v>262</v>
      </c>
      <c r="I55" s="32"/>
      <c r="J55" s="70"/>
      <c r="K55" s="71"/>
      <c r="L55" s="64">
        <v>45976</v>
      </c>
      <c r="M55" s="72" t="s">
        <v>208</v>
      </c>
    </row>
    <row r="56" spans="1:13" x14ac:dyDescent="0.35">
      <c r="A56" s="69" t="s">
        <v>232</v>
      </c>
      <c r="B56" s="59" t="s">
        <v>50</v>
      </c>
      <c r="C56" s="59" t="s">
        <v>173</v>
      </c>
      <c r="D56" s="59" t="s">
        <v>324</v>
      </c>
      <c r="E56" s="60">
        <v>74.33</v>
      </c>
      <c r="F56" s="61" t="s">
        <v>217</v>
      </c>
      <c r="G56" s="59" t="s">
        <v>2</v>
      </c>
      <c r="H56" s="75" t="s">
        <v>261</v>
      </c>
      <c r="I56" s="32">
        <v>3</v>
      </c>
      <c r="J56" s="38" t="s">
        <v>433</v>
      </c>
      <c r="K56" s="71" t="s">
        <v>450</v>
      </c>
      <c r="L56" s="64">
        <v>45978</v>
      </c>
      <c r="M56" s="72" t="s">
        <v>227</v>
      </c>
    </row>
    <row r="57" spans="1:13" x14ac:dyDescent="0.35">
      <c r="A57" s="69" t="s">
        <v>260</v>
      </c>
      <c r="B57" s="59" t="s">
        <v>197</v>
      </c>
      <c r="C57" s="59" t="s">
        <v>19</v>
      </c>
      <c r="D57" s="59" t="s">
        <v>337</v>
      </c>
      <c r="E57" s="60">
        <v>65</v>
      </c>
      <c r="F57" s="61" t="s">
        <v>217</v>
      </c>
      <c r="G57" s="59" t="s">
        <v>4</v>
      </c>
      <c r="H57" s="75"/>
      <c r="I57" s="32"/>
      <c r="J57" s="70"/>
      <c r="K57" s="71"/>
      <c r="L57" s="64">
        <v>45980</v>
      </c>
      <c r="M57" s="72" t="s">
        <v>175</v>
      </c>
    </row>
    <row r="58" spans="1:13" x14ac:dyDescent="0.35">
      <c r="A58" s="69" t="s">
        <v>209</v>
      </c>
      <c r="B58" s="59" t="s">
        <v>50</v>
      </c>
      <c r="C58" s="59" t="s">
        <v>51</v>
      </c>
      <c r="D58" s="59" t="s">
        <v>296</v>
      </c>
      <c r="E58" s="60">
        <v>109.8</v>
      </c>
      <c r="F58" s="61" t="s">
        <v>217</v>
      </c>
      <c r="G58" s="59" t="s">
        <v>2</v>
      </c>
      <c r="H58" s="75" t="s">
        <v>263</v>
      </c>
      <c r="I58" s="32">
        <v>5</v>
      </c>
      <c r="J58" s="38" t="s">
        <v>447</v>
      </c>
      <c r="K58" s="71" t="s">
        <v>443</v>
      </c>
      <c r="L58" s="64">
        <v>45980</v>
      </c>
      <c r="M58" s="72" t="s">
        <v>227</v>
      </c>
    </row>
    <row r="59" spans="1:13" x14ac:dyDescent="0.35">
      <c r="A59" s="69" t="s">
        <v>232</v>
      </c>
      <c r="B59" s="59" t="s">
        <v>7</v>
      </c>
      <c r="C59" s="59" t="s">
        <v>73</v>
      </c>
      <c r="D59" s="59" t="s">
        <v>332</v>
      </c>
      <c r="E59" s="60">
        <v>22.5</v>
      </c>
      <c r="F59" s="61" t="s">
        <v>217</v>
      </c>
      <c r="G59" s="59" t="s">
        <v>157</v>
      </c>
      <c r="H59" s="75"/>
      <c r="I59" s="32"/>
      <c r="J59" s="70"/>
      <c r="K59" s="71"/>
      <c r="L59" s="64">
        <v>45983</v>
      </c>
      <c r="M59" s="72" t="s">
        <v>175</v>
      </c>
    </row>
    <row r="60" spans="1:13" x14ac:dyDescent="0.35">
      <c r="A60" s="69" t="s">
        <v>210</v>
      </c>
      <c r="B60" s="59" t="s">
        <v>63</v>
      </c>
      <c r="C60" s="59" t="s">
        <v>231</v>
      </c>
      <c r="D60" s="59" t="s">
        <v>339</v>
      </c>
      <c r="E60" s="60">
        <v>38</v>
      </c>
      <c r="F60" s="61" t="s">
        <v>217</v>
      </c>
      <c r="G60" s="59" t="s">
        <v>4</v>
      </c>
      <c r="H60" s="75"/>
      <c r="I60" s="32"/>
      <c r="J60" s="70"/>
      <c r="K60" s="71"/>
      <c r="L60" s="64">
        <v>45986</v>
      </c>
      <c r="M60" s="72" t="s">
        <v>223</v>
      </c>
    </row>
    <row r="61" spans="1:13" x14ac:dyDescent="0.35">
      <c r="A61" s="69" t="s">
        <v>232</v>
      </c>
      <c r="B61" s="59" t="s">
        <v>50</v>
      </c>
      <c r="C61" s="59" t="s">
        <v>220</v>
      </c>
      <c r="D61" s="59" t="s">
        <v>335</v>
      </c>
      <c r="E61" s="60">
        <v>187.9</v>
      </c>
      <c r="F61" s="61" t="s">
        <v>217</v>
      </c>
      <c r="G61" s="59" t="s">
        <v>2</v>
      </c>
      <c r="H61" s="75" t="s">
        <v>261</v>
      </c>
      <c r="I61" s="32"/>
      <c r="J61" s="70"/>
      <c r="K61" s="71"/>
      <c r="L61" s="64">
        <v>45989</v>
      </c>
      <c r="M61" s="72" t="s">
        <v>175</v>
      </c>
    </row>
    <row r="62" spans="1:13" x14ac:dyDescent="0.35">
      <c r="A62" s="69" t="s">
        <v>260</v>
      </c>
      <c r="B62" s="59" t="s">
        <v>50</v>
      </c>
      <c r="C62" s="59" t="s">
        <v>173</v>
      </c>
      <c r="D62" s="59" t="s">
        <v>336</v>
      </c>
      <c r="E62" s="60">
        <v>107.5</v>
      </c>
      <c r="F62" s="61" t="s">
        <v>217</v>
      </c>
      <c r="G62" s="59" t="s">
        <v>2</v>
      </c>
      <c r="H62" s="75" t="s">
        <v>262</v>
      </c>
      <c r="I62" s="32">
        <v>2</v>
      </c>
      <c r="J62" s="38" t="s">
        <v>241</v>
      </c>
      <c r="K62" s="71" t="s">
        <v>451</v>
      </c>
      <c r="L62" s="64">
        <v>45989</v>
      </c>
      <c r="M62" s="72" t="s">
        <v>175</v>
      </c>
    </row>
    <row r="63" spans="1:13" x14ac:dyDescent="0.35">
      <c r="A63" s="69" t="s">
        <v>209</v>
      </c>
      <c r="B63" s="59" t="s">
        <v>50</v>
      </c>
      <c r="C63" s="59" t="s">
        <v>51</v>
      </c>
      <c r="D63" s="59" t="s">
        <v>348</v>
      </c>
      <c r="E63" s="60">
        <v>483.17</v>
      </c>
      <c r="F63" s="61" t="s">
        <v>217</v>
      </c>
      <c r="G63" s="59" t="s">
        <v>2</v>
      </c>
      <c r="H63" s="75" t="s">
        <v>263</v>
      </c>
      <c r="I63" s="32">
        <v>6</v>
      </c>
      <c r="J63" s="38" t="s">
        <v>436</v>
      </c>
      <c r="K63" s="71" t="s">
        <v>453</v>
      </c>
      <c r="L63" s="64">
        <v>46003</v>
      </c>
      <c r="M63" s="72" t="s">
        <v>175</v>
      </c>
    </row>
    <row r="64" spans="1:13" x14ac:dyDescent="0.35">
      <c r="A64" s="69" t="s">
        <v>260</v>
      </c>
      <c r="B64" s="59" t="s">
        <v>50</v>
      </c>
      <c r="C64" s="59" t="s">
        <v>173</v>
      </c>
      <c r="D64" s="59" t="s">
        <v>347</v>
      </c>
      <c r="E64" s="60">
        <v>245</v>
      </c>
      <c r="F64" s="61" t="s">
        <v>217</v>
      </c>
      <c r="G64" s="59" t="s">
        <v>2</v>
      </c>
      <c r="H64" s="75" t="s">
        <v>262</v>
      </c>
      <c r="I64" s="32"/>
      <c r="J64" s="70"/>
      <c r="K64" s="71"/>
      <c r="L64" s="64">
        <v>46005</v>
      </c>
      <c r="M64" s="72" t="s">
        <v>175</v>
      </c>
    </row>
    <row r="65" spans="1:13" x14ac:dyDescent="0.35">
      <c r="A65" s="69" t="s">
        <v>232</v>
      </c>
      <c r="B65" s="59" t="s">
        <v>50</v>
      </c>
      <c r="C65" s="59" t="s">
        <v>52</v>
      </c>
      <c r="D65" s="59" t="s">
        <v>346</v>
      </c>
      <c r="E65" s="60">
        <v>170</v>
      </c>
      <c r="F65" s="61" t="s">
        <v>217</v>
      </c>
      <c r="G65" s="59" t="s">
        <v>2</v>
      </c>
      <c r="H65" s="75" t="s">
        <v>261</v>
      </c>
      <c r="I65" s="32">
        <v>4</v>
      </c>
      <c r="J65" s="38" t="s">
        <v>428</v>
      </c>
      <c r="K65" s="71" t="s">
        <v>452</v>
      </c>
      <c r="L65" s="64">
        <v>46006</v>
      </c>
      <c r="M65" s="72" t="s">
        <v>175</v>
      </c>
    </row>
    <row r="66" spans="1:13" x14ac:dyDescent="0.35">
      <c r="A66" s="69" t="s">
        <v>232</v>
      </c>
      <c r="B66" s="59" t="s">
        <v>50</v>
      </c>
      <c r="C66" s="59" t="s">
        <v>173</v>
      </c>
      <c r="D66" s="59" t="s">
        <v>324</v>
      </c>
      <c r="E66" s="60">
        <v>74.33</v>
      </c>
      <c r="F66" s="61" t="s">
        <v>217</v>
      </c>
      <c r="G66" s="59" t="s">
        <v>2</v>
      </c>
      <c r="H66" s="75" t="s">
        <v>261</v>
      </c>
      <c r="I66" s="32">
        <v>3</v>
      </c>
      <c r="J66" s="38" t="s">
        <v>434</v>
      </c>
      <c r="K66" s="71" t="s">
        <v>450</v>
      </c>
      <c r="L66" s="64">
        <v>46008</v>
      </c>
      <c r="M66" s="72" t="s">
        <v>227</v>
      </c>
    </row>
    <row r="67" spans="1:13" x14ac:dyDescent="0.35">
      <c r="A67" s="69" t="s">
        <v>232</v>
      </c>
      <c r="B67" s="59" t="s">
        <v>36</v>
      </c>
      <c r="C67" s="59" t="s">
        <v>128</v>
      </c>
      <c r="D67" s="59" t="s">
        <v>352</v>
      </c>
      <c r="E67" s="60">
        <v>89.5</v>
      </c>
      <c r="F67" s="61" t="s">
        <v>218</v>
      </c>
      <c r="G67" s="59" t="s">
        <v>157</v>
      </c>
      <c r="H67" s="75"/>
      <c r="I67" s="32"/>
      <c r="J67" s="70"/>
      <c r="K67" s="71"/>
      <c r="L67" s="64">
        <v>46009</v>
      </c>
      <c r="M67" s="72" t="s">
        <v>257</v>
      </c>
    </row>
    <row r="68" spans="1:13" x14ac:dyDescent="0.35">
      <c r="A68" s="69" t="s">
        <v>209</v>
      </c>
      <c r="B68" s="59" t="s">
        <v>50</v>
      </c>
      <c r="C68" s="59" t="s">
        <v>51</v>
      </c>
      <c r="D68" s="59" t="s">
        <v>296</v>
      </c>
      <c r="E68" s="60">
        <v>109.8</v>
      </c>
      <c r="F68" s="61" t="s">
        <v>217</v>
      </c>
      <c r="G68" s="59" t="s">
        <v>2</v>
      </c>
      <c r="H68" s="75" t="s">
        <v>263</v>
      </c>
      <c r="I68" s="32">
        <v>5</v>
      </c>
      <c r="J68" s="38" t="s">
        <v>448</v>
      </c>
      <c r="K68" s="71" t="s">
        <v>443</v>
      </c>
      <c r="L68" s="64">
        <v>46010</v>
      </c>
      <c r="M68" s="72" t="s">
        <v>227</v>
      </c>
    </row>
    <row r="69" spans="1:13" x14ac:dyDescent="0.35">
      <c r="A69" s="69" t="s">
        <v>232</v>
      </c>
      <c r="B69" s="59" t="s">
        <v>7</v>
      </c>
      <c r="C69" s="59" t="s">
        <v>9</v>
      </c>
      <c r="D69" s="59" t="s">
        <v>340</v>
      </c>
      <c r="E69" s="60">
        <v>485</v>
      </c>
      <c r="F69" s="61" t="s">
        <v>217</v>
      </c>
      <c r="G69" s="59" t="s">
        <v>2</v>
      </c>
      <c r="H69" s="75" t="s">
        <v>261</v>
      </c>
      <c r="I69" s="32"/>
      <c r="J69" s="70"/>
      <c r="K69" s="71"/>
      <c r="L69" s="64">
        <v>46011</v>
      </c>
      <c r="M69" s="72" t="s">
        <v>175</v>
      </c>
    </row>
    <row r="70" spans="1:13" x14ac:dyDescent="0.35">
      <c r="A70" s="69" t="s">
        <v>232</v>
      </c>
      <c r="B70" s="59" t="s">
        <v>197</v>
      </c>
      <c r="C70" s="59" t="s">
        <v>18</v>
      </c>
      <c r="D70" s="59" t="s">
        <v>349</v>
      </c>
      <c r="E70" s="60">
        <v>110</v>
      </c>
      <c r="F70" s="61" t="s">
        <v>217</v>
      </c>
      <c r="G70" s="59" t="s">
        <v>4</v>
      </c>
      <c r="H70" s="75"/>
      <c r="I70" s="32"/>
      <c r="J70" s="70"/>
      <c r="K70" s="71"/>
      <c r="L70" s="64">
        <v>46013</v>
      </c>
      <c r="M70" s="72" t="s">
        <v>223</v>
      </c>
    </row>
    <row r="71" spans="1:13" x14ac:dyDescent="0.35">
      <c r="A71" s="69" t="s">
        <v>232</v>
      </c>
      <c r="B71" s="59" t="s">
        <v>34</v>
      </c>
      <c r="C71" s="59" t="s">
        <v>122</v>
      </c>
      <c r="D71" s="59" t="s">
        <v>350</v>
      </c>
      <c r="E71" s="60">
        <v>280</v>
      </c>
      <c r="F71" s="61" t="s">
        <v>217</v>
      </c>
      <c r="G71" s="59" t="s">
        <v>2</v>
      </c>
      <c r="H71" s="75" t="s">
        <v>261</v>
      </c>
      <c r="I71" s="32"/>
      <c r="J71" s="70"/>
      <c r="K71" s="71"/>
      <c r="L71" s="64">
        <v>46013</v>
      </c>
      <c r="M71" s="72" t="s">
        <v>227</v>
      </c>
    </row>
    <row r="72" spans="1:13" x14ac:dyDescent="0.35">
      <c r="A72" s="69" t="s">
        <v>232</v>
      </c>
      <c r="B72" s="59" t="s">
        <v>53</v>
      </c>
      <c r="C72" s="59" t="s">
        <v>152</v>
      </c>
      <c r="D72" s="59" t="s">
        <v>344</v>
      </c>
      <c r="E72" s="60">
        <v>89.5</v>
      </c>
      <c r="F72" s="61" t="s">
        <v>217</v>
      </c>
      <c r="G72" s="59" t="s">
        <v>2</v>
      </c>
      <c r="H72" s="75" t="s">
        <v>261</v>
      </c>
      <c r="I72" s="32"/>
      <c r="J72" s="70"/>
      <c r="K72" s="71"/>
      <c r="L72" s="64">
        <v>46013</v>
      </c>
      <c r="M72" s="72" t="s">
        <v>175</v>
      </c>
    </row>
    <row r="73" spans="1:13" x14ac:dyDescent="0.35">
      <c r="A73" s="69" t="s">
        <v>210</v>
      </c>
      <c r="B73" s="59" t="s">
        <v>53</v>
      </c>
      <c r="C73" s="59" t="s">
        <v>196</v>
      </c>
      <c r="D73" s="59" t="s">
        <v>345</v>
      </c>
      <c r="E73" s="60">
        <v>280</v>
      </c>
      <c r="F73" s="61" t="s">
        <v>217</v>
      </c>
      <c r="G73" s="59" t="s">
        <v>2</v>
      </c>
      <c r="H73" s="75" t="s">
        <v>263</v>
      </c>
      <c r="I73" s="32"/>
      <c r="J73" s="70"/>
      <c r="K73" s="71"/>
      <c r="L73" s="64">
        <v>46013</v>
      </c>
      <c r="M73" s="72" t="s">
        <v>175</v>
      </c>
    </row>
    <row r="74" spans="1:13" x14ac:dyDescent="0.35">
      <c r="A74" s="69" t="s">
        <v>210</v>
      </c>
      <c r="B74" s="59" t="s">
        <v>7</v>
      </c>
      <c r="C74" s="59" t="s">
        <v>8</v>
      </c>
      <c r="D74" s="59" t="s">
        <v>341</v>
      </c>
      <c r="E74" s="60">
        <v>320</v>
      </c>
      <c r="F74" s="61" t="s">
        <v>217</v>
      </c>
      <c r="G74" s="59" t="s">
        <v>2</v>
      </c>
      <c r="H74" s="75" t="s">
        <v>263</v>
      </c>
      <c r="I74" s="32"/>
      <c r="J74" s="70"/>
      <c r="K74" s="71"/>
      <c r="L74" s="64">
        <v>46015</v>
      </c>
      <c r="M74" s="72" t="s">
        <v>208</v>
      </c>
    </row>
    <row r="75" spans="1:13" x14ac:dyDescent="0.35">
      <c r="A75" s="69" t="s">
        <v>210</v>
      </c>
      <c r="B75" s="59" t="s">
        <v>63</v>
      </c>
      <c r="C75" s="59" t="s">
        <v>231</v>
      </c>
      <c r="D75" s="59" t="s">
        <v>351</v>
      </c>
      <c r="E75" s="60">
        <v>145</v>
      </c>
      <c r="F75" s="61" t="s">
        <v>217</v>
      </c>
      <c r="G75" s="59" t="s">
        <v>4</v>
      </c>
      <c r="H75" s="75"/>
      <c r="I75" s="32"/>
      <c r="J75" s="70"/>
      <c r="K75" s="71"/>
      <c r="L75" s="64">
        <v>46018</v>
      </c>
      <c r="M75" s="72" t="s">
        <v>175</v>
      </c>
    </row>
    <row r="76" spans="1:13" x14ac:dyDescent="0.35">
      <c r="A76" s="69" t="s">
        <v>260</v>
      </c>
      <c r="B76" s="59" t="s">
        <v>7</v>
      </c>
      <c r="C76" s="59" t="s">
        <v>69</v>
      </c>
      <c r="D76" s="59" t="s">
        <v>342</v>
      </c>
      <c r="E76" s="60">
        <v>98.5</v>
      </c>
      <c r="F76" s="61" t="s">
        <v>217</v>
      </c>
      <c r="G76" s="59" t="s">
        <v>2</v>
      </c>
      <c r="H76" s="75" t="s">
        <v>262</v>
      </c>
      <c r="I76" s="32"/>
      <c r="J76" s="70"/>
      <c r="K76" s="71"/>
      <c r="L76" s="64">
        <v>46019</v>
      </c>
      <c r="M76" s="72" t="s">
        <v>175</v>
      </c>
    </row>
    <row r="77" spans="1:13" x14ac:dyDescent="0.35">
      <c r="A77" s="69" t="s">
        <v>260</v>
      </c>
      <c r="B77" s="59" t="s">
        <v>50</v>
      </c>
      <c r="C77" s="59" t="s">
        <v>173</v>
      </c>
      <c r="D77" s="59" t="s">
        <v>336</v>
      </c>
      <c r="E77" s="60">
        <v>107.5</v>
      </c>
      <c r="F77" s="61" t="s">
        <v>217</v>
      </c>
      <c r="G77" s="59" t="s">
        <v>2</v>
      </c>
      <c r="H77" s="75" t="s">
        <v>262</v>
      </c>
      <c r="I77" s="32">
        <v>2</v>
      </c>
      <c r="J77" s="38" t="s">
        <v>242</v>
      </c>
      <c r="K77" s="71" t="s">
        <v>451</v>
      </c>
      <c r="L77" s="64">
        <v>46019</v>
      </c>
      <c r="M77" s="72" t="s">
        <v>227</v>
      </c>
    </row>
    <row r="78" spans="1:13" x14ac:dyDescent="0.35">
      <c r="A78" s="69" t="s">
        <v>232</v>
      </c>
      <c r="B78" s="59" t="s">
        <v>7</v>
      </c>
      <c r="C78" s="59" t="s">
        <v>70</v>
      </c>
      <c r="D78" s="59" t="s">
        <v>343</v>
      </c>
      <c r="E78" s="60">
        <v>75.900000000000006</v>
      </c>
      <c r="F78" s="61" t="s">
        <v>217</v>
      </c>
      <c r="G78" s="59" t="s">
        <v>2</v>
      </c>
      <c r="H78" s="75" t="s">
        <v>261</v>
      </c>
      <c r="I78" s="32"/>
      <c r="J78" s="70"/>
      <c r="K78" s="71"/>
      <c r="L78" s="64">
        <v>46022</v>
      </c>
      <c r="M78" s="72" t="s">
        <v>208</v>
      </c>
    </row>
    <row r="79" spans="1:13" x14ac:dyDescent="0.35">
      <c r="A79" s="69" t="s">
        <v>232</v>
      </c>
      <c r="B79" s="59" t="s">
        <v>7</v>
      </c>
      <c r="C79" s="59" t="s">
        <v>9</v>
      </c>
      <c r="D79" s="59" t="s">
        <v>353</v>
      </c>
      <c r="E79" s="60">
        <v>245.8</v>
      </c>
      <c r="F79" s="61" t="s">
        <v>217</v>
      </c>
      <c r="G79" s="59" t="s">
        <v>2</v>
      </c>
      <c r="H79" s="75" t="s">
        <v>261</v>
      </c>
      <c r="I79" s="32"/>
      <c r="J79" s="70"/>
      <c r="K79" s="71"/>
      <c r="L79" s="64">
        <v>46028</v>
      </c>
      <c r="M79" s="72" t="s">
        <v>208</v>
      </c>
    </row>
    <row r="80" spans="1:13" x14ac:dyDescent="0.35">
      <c r="A80" s="69" t="s">
        <v>210</v>
      </c>
      <c r="B80" s="59" t="s">
        <v>7</v>
      </c>
      <c r="C80" s="59" t="s">
        <v>70</v>
      </c>
      <c r="D80" s="59" t="s">
        <v>354</v>
      </c>
      <c r="E80" s="60">
        <v>52.9</v>
      </c>
      <c r="F80" s="61" t="s">
        <v>217</v>
      </c>
      <c r="G80" s="59" t="s">
        <v>170</v>
      </c>
      <c r="H80" s="75"/>
      <c r="I80" s="32"/>
      <c r="J80" s="70"/>
      <c r="K80" s="71"/>
      <c r="L80" s="64">
        <v>46030</v>
      </c>
      <c r="M80" s="72" t="s">
        <v>175</v>
      </c>
    </row>
    <row r="81" spans="1:13" x14ac:dyDescent="0.35">
      <c r="A81" s="69" t="s">
        <v>232</v>
      </c>
      <c r="B81" s="59" t="s">
        <v>53</v>
      </c>
      <c r="C81" s="59" t="s">
        <v>152</v>
      </c>
      <c r="D81" s="59" t="s">
        <v>357</v>
      </c>
      <c r="E81" s="60">
        <v>55</v>
      </c>
      <c r="F81" s="61" t="s">
        <v>217</v>
      </c>
      <c r="G81" s="59" t="s">
        <v>157</v>
      </c>
      <c r="H81" s="75"/>
      <c r="I81" s="32"/>
      <c r="J81" s="70"/>
      <c r="K81" s="71"/>
      <c r="L81" s="64">
        <v>46031</v>
      </c>
      <c r="M81" s="72" t="s">
        <v>175</v>
      </c>
    </row>
    <row r="82" spans="1:13" x14ac:dyDescent="0.35">
      <c r="A82" s="69" t="s">
        <v>232</v>
      </c>
      <c r="B82" s="59" t="s">
        <v>50</v>
      </c>
      <c r="C82" s="59" t="s">
        <v>220</v>
      </c>
      <c r="D82" s="59" t="s">
        <v>359</v>
      </c>
      <c r="E82" s="60">
        <v>139.9</v>
      </c>
      <c r="F82" s="61" t="s">
        <v>217</v>
      </c>
      <c r="G82" s="59" t="s">
        <v>2</v>
      </c>
      <c r="H82" s="75" t="s">
        <v>261</v>
      </c>
      <c r="I82" s="32"/>
      <c r="J82" s="70"/>
      <c r="K82" s="71"/>
      <c r="L82" s="64">
        <v>46033</v>
      </c>
      <c r="M82" s="72" t="s">
        <v>227</v>
      </c>
    </row>
    <row r="83" spans="1:13" x14ac:dyDescent="0.35">
      <c r="A83" s="69" t="s">
        <v>260</v>
      </c>
      <c r="B83" s="59" t="s">
        <v>7</v>
      </c>
      <c r="C83" s="59" t="s">
        <v>69</v>
      </c>
      <c r="D83" s="59" t="s">
        <v>355</v>
      </c>
      <c r="E83" s="60">
        <v>71.400000000000006</v>
      </c>
      <c r="F83" s="61" t="s">
        <v>217</v>
      </c>
      <c r="G83" s="59" t="s">
        <v>2</v>
      </c>
      <c r="H83" s="75" t="s">
        <v>262</v>
      </c>
      <c r="I83" s="32"/>
      <c r="J83" s="70"/>
      <c r="K83" s="71"/>
      <c r="L83" s="64">
        <v>46034</v>
      </c>
      <c r="M83" s="72" t="s">
        <v>208</v>
      </c>
    </row>
    <row r="84" spans="1:13" x14ac:dyDescent="0.35">
      <c r="A84" s="69" t="s">
        <v>209</v>
      </c>
      <c r="B84" s="59" t="s">
        <v>50</v>
      </c>
      <c r="C84" s="59" t="s">
        <v>51</v>
      </c>
      <c r="D84" s="59" t="s">
        <v>348</v>
      </c>
      <c r="E84" s="60">
        <v>483.17</v>
      </c>
      <c r="F84" s="61" t="s">
        <v>217</v>
      </c>
      <c r="G84" s="59" t="s">
        <v>2</v>
      </c>
      <c r="H84" s="75" t="s">
        <v>263</v>
      </c>
      <c r="I84" s="32">
        <v>6</v>
      </c>
      <c r="J84" s="38" t="s">
        <v>437</v>
      </c>
      <c r="K84" s="71" t="s">
        <v>453</v>
      </c>
      <c r="L84" s="64">
        <v>46034</v>
      </c>
      <c r="M84" s="72" t="s">
        <v>227</v>
      </c>
    </row>
    <row r="85" spans="1:13" x14ac:dyDescent="0.35">
      <c r="A85" s="69" t="s">
        <v>232</v>
      </c>
      <c r="B85" s="59" t="s">
        <v>34</v>
      </c>
      <c r="C85" s="59" t="s">
        <v>191</v>
      </c>
      <c r="D85" s="59" t="s">
        <v>363</v>
      </c>
      <c r="E85" s="60">
        <v>89.9</v>
      </c>
      <c r="F85" s="61" t="s">
        <v>217</v>
      </c>
      <c r="G85" s="59" t="s">
        <v>2</v>
      </c>
      <c r="H85" s="75" t="s">
        <v>261</v>
      </c>
      <c r="I85" s="32"/>
      <c r="J85" s="70"/>
      <c r="K85" s="71"/>
      <c r="L85" s="64">
        <v>46035</v>
      </c>
      <c r="M85" s="72" t="s">
        <v>175</v>
      </c>
    </row>
    <row r="86" spans="1:13" x14ac:dyDescent="0.35">
      <c r="A86" s="69" t="s">
        <v>209</v>
      </c>
      <c r="B86" s="59" t="s">
        <v>21</v>
      </c>
      <c r="C86" s="59" t="s">
        <v>90</v>
      </c>
      <c r="D86" s="59" t="s">
        <v>358</v>
      </c>
      <c r="E86" s="60">
        <v>215</v>
      </c>
      <c r="F86" s="61" t="s">
        <v>217</v>
      </c>
      <c r="G86" s="59" t="s">
        <v>2</v>
      </c>
      <c r="H86" s="75" t="s">
        <v>263</v>
      </c>
      <c r="I86" s="32"/>
      <c r="J86" s="70"/>
      <c r="K86" s="71"/>
      <c r="L86" s="64">
        <v>46036</v>
      </c>
      <c r="M86" s="72" t="s">
        <v>227</v>
      </c>
    </row>
    <row r="87" spans="1:13" x14ac:dyDescent="0.35">
      <c r="A87" s="69" t="s">
        <v>232</v>
      </c>
      <c r="B87" s="59" t="s">
        <v>50</v>
      </c>
      <c r="C87" s="59" t="s">
        <v>52</v>
      </c>
      <c r="D87" s="59" t="s">
        <v>346</v>
      </c>
      <c r="E87" s="60">
        <v>170</v>
      </c>
      <c r="F87" s="61" t="s">
        <v>217</v>
      </c>
      <c r="G87" s="59" t="s">
        <v>2</v>
      </c>
      <c r="H87" s="75" t="s">
        <v>261</v>
      </c>
      <c r="I87" s="32">
        <v>4</v>
      </c>
      <c r="J87" s="38" t="s">
        <v>429</v>
      </c>
      <c r="K87" s="71" t="s">
        <v>452</v>
      </c>
      <c r="L87" s="64">
        <v>46037</v>
      </c>
      <c r="M87" s="72" t="s">
        <v>227</v>
      </c>
    </row>
    <row r="88" spans="1:13" x14ac:dyDescent="0.35">
      <c r="A88" s="69" t="s">
        <v>232</v>
      </c>
      <c r="B88" s="59" t="s">
        <v>53</v>
      </c>
      <c r="C88" s="59" t="s">
        <v>62</v>
      </c>
      <c r="D88" s="59" t="s">
        <v>356</v>
      </c>
      <c r="E88" s="60">
        <v>1250</v>
      </c>
      <c r="F88" s="61" t="s">
        <v>217</v>
      </c>
      <c r="G88" s="59" t="s">
        <v>172</v>
      </c>
      <c r="H88" s="75"/>
      <c r="I88" s="32"/>
      <c r="J88" s="70"/>
      <c r="K88" s="71"/>
      <c r="L88" s="64">
        <v>46038</v>
      </c>
      <c r="M88" s="72" t="s">
        <v>175</v>
      </c>
    </row>
    <row r="89" spans="1:13" x14ac:dyDescent="0.35">
      <c r="A89" s="69" t="s">
        <v>260</v>
      </c>
      <c r="B89" s="59" t="s">
        <v>50</v>
      </c>
      <c r="C89" s="59" t="s">
        <v>173</v>
      </c>
      <c r="D89" s="59" t="s">
        <v>360</v>
      </c>
      <c r="E89" s="60">
        <v>99</v>
      </c>
      <c r="F89" s="61" t="s">
        <v>217</v>
      </c>
      <c r="G89" s="59" t="s">
        <v>2</v>
      </c>
      <c r="H89" s="75" t="s">
        <v>262</v>
      </c>
      <c r="I89" s="32">
        <v>2</v>
      </c>
      <c r="J89" s="38" t="s">
        <v>241</v>
      </c>
      <c r="K89" s="71" t="s">
        <v>454</v>
      </c>
      <c r="L89" s="64">
        <v>46040</v>
      </c>
      <c r="M89" s="72" t="s">
        <v>175</v>
      </c>
    </row>
    <row r="90" spans="1:13" x14ac:dyDescent="0.35">
      <c r="A90" s="69" t="s">
        <v>210</v>
      </c>
      <c r="B90" s="59" t="s">
        <v>43</v>
      </c>
      <c r="C90" s="59" t="s">
        <v>46</v>
      </c>
      <c r="D90" s="59" t="s">
        <v>364</v>
      </c>
      <c r="E90" s="60">
        <v>68.5</v>
      </c>
      <c r="F90" s="61" t="s">
        <v>217</v>
      </c>
      <c r="G90" s="59" t="s">
        <v>3</v>
      </c>
      <c r="H90" s="75"/>
      <c r="I90" s="32"/>
      <c r="J90" s="70"/>
      <c r="K90" s="71"/>
      <c r="L90" s="64">
        <v>46041</v>
      </c>
      <c r="M90" s="72" t="s">
        <v>227</v>
      </c>
    </row>
    <row r="91" spans="1:13" x14ac:dyDescent="0.35">
      <c r="A91" s="69" t="s">
        <v>210</v>
      </c>
      <c r="B91" s="59" t="s">
        <v>50</v>
      </c>
      <c r="C91" s="59" t="s">
        <v>51</v>
      </c>
      <c r="D91" s="59" t="s">
        <v>361</v>
      </c>
      <c r="E91" s="60">
        <v>99.75</v>
      </c>
      <c r="F91" s="61" t="s">
        <v>217</v>
      </c>
      <c r="G91" s="59" t="s">
        <v>2</v>
      </c>
      <c r="H91" s="75" t="s">
        <v>263</v>
      </c>
      <c r="I91" s="32">
        <v>4</v>
      </c>
      <c r="J91" s="38" t="s">
        <v>428</v>
      </c>
      <c r="K91" s="71" t="s">
        <v>455</v>
      </c>
      <c r="L91" s="64">
        <v>46042</v>
      </c>
      <c r="M91" s="72" t="s">
        <v>175</v>
      </c>
    </row>
    <row r="92" spans="1:13" x14ac:dyDescent="0.35">
      <c r="A92" s="69" t="s">
        <v>209</v>
      </c>
      <c r="B92" s="59" t="s">
        <v>7</v>
      </c>
      <c r="C92" s="59" t="s">
        <v>8</v>
      </c>
      <c r="D92" s="59" t="s">
        <v>279</v>
      </c>
      <c r="E92" s="60">
        <v>88</v>
      </c>
      <c r="F92" s="61" t="s">
        <v>217</v>
      </c>
      <c r="G92" s="59" t="s">
        <v>2</v>
      </c>
      <c r="H92" s="75" t="s">
        <v>263</v>
      </c>
      <c r="I92" s="32"/>
      <c r="J92" s="70"/>
      <c r="K92" s="71"/>
      <c r="L92" s="64">
        <v>46045</v>
      </c>
      <c r="M92" s="72" t="s">
        <v>175</v>
      </c>
    </row>
    <row r="93" spans="1:13" x14ac:dyDescent="0.35">
      <c r="A93" s="69" t="s">
        <v>260</v>
      </c>
      <c r="B93" s="59" t="s">
        <v>197</v>
      </c>
      <c r="C93" s="59" t="s">
        <v>19</v>
      </c>
      <c r="D93" s="59" t="s">
        <v>362</v>
      </c>
      <c r="E93" s="60">
        <v>75</v>
      </c>
      <c r="F93" s="61" t="s">
        <v>217</v>
      </c>
      <c r="G93" s="59" t="s">
        <v>4</v>
      </c>
      <c r="H93" s="75"/>
      <c r="I93" s="32"/>
      <c r="J93" s="70"/>
      <c r="K93" s="71"/>
      <c r="L93" s="64">
        <v>46046</v>
      </c>
      <c r="M93" s="72" t="s">
        <v>227</v>
      </c>
    </row>
    <row r="94" spans="1:13" x14ac:dyDescent="0.35">
      <c r="A94" s="69" t="s">
        <v>209</v>
      </c>
      <c r="B94" s="59" t="s">
        <v>63</v>
      </c>
      <c r="C94" s="59" t="s">
        <v>231</v>
      </c>
      <c r="D94" s="59" t="s">
        <v>365</v>
      </c>
      <c r="E94" s="60">
        <v>88</v>
      </c>
      <c r="F94" s="61" t="s">
        <v>217</v>
      </c>
      <c r="G94" s="59" t="s">
        <v>157</v>
      </c>
      <c r="H94" s="75"/>
      <c r="I94" s="32"/>
      <c r="J94" s="70"/>
      <c r="K94" s="71"/>
      <c r="L94" s="64">
        <v>46049</v>
      </c>
      <c r="M94" s="72" t="s">
        <v>175</v>
      </c>
    </row>
    <row r="95" spans="1:13" x14ac:dyDescent="0.35">
      <c r="A95" s="69" t="s">
        <v>232</v>
      </c>
      <c r="B95" s="59" t="s">
        <v>7</v>
      </c>
      <c r="C95" s="59" t="s">
        <v>9</v>
      </c>
      <c r="D95" s="59" t="s">
        <v>366</v>
      </c>
      <c r="E95" s="60">
        <v>228.4</v>
      </c>
      <c r="F95" s="61" t="s">
        <v>217</v>
      </c>
      <c r="G95" s="59" t="s">
        <v>2</v>
      </c>
      <c r="H95" s="75" t="s">
        <v>261</v>
      </c>
      <c r="I95" s="32"/>
      <c r="J95" s="70"/>
      <c r="K95" s="71"/>
      <c r="L95" s="64">
        <v>46055</v>
      </c>
      <c r="M95" s="72" t="s">
        <v>227</v>
      </c>
    </row>
    <row r="96" spans="1:13" x14ac:dyDescent="0.35">
      <c r="A96" s="69" t="s">
        <v>260</v>
      </c>
      <c r="B96" s="59" t="s">
        <v>53</v>
      </c>
      <c r="C96" s="59" t="s">
        <v>234</v>
      </c>
      <c r="D96" s="59" t="s">
        <v>372</v>
      </c>
      <c r="E96" s="60">
        <v>50</v>
      </c>
      <c r="F96" s="61" t="s">
        <v>217</v>
      </c>
      <c r="G96" s="59" t="s">
        <v>3</v>
      </c>
      <c r="H96" s="75"/>
      <c r="I96" s="32"/>
      <c r="J96" s="70"/>
      <c r="K96" s="71"/>
      <c r="L96" s="64">
        <v>46056</v>
      </c>
      <c r="M96" s="72" t="s">
        <v>223</v>
      </c>
    </row>
    <row r="97" spans="1:13" x14ac:dyDescent="0.35">
      <c r="A97" s="69" t="s">
        <v>232</v>
      </c>
      <c r="B97" s="59" t="s">
        <v>50</v>
      </c>
      <c r="C97" s="59" t="s">
        <v>220</v>
      </c>
      <c r="D97" s="59" t="s">
        <v>373</v>
      </c>
      <c r="E97" s="60">
        <v>97.9</v>
      </c>
      <c r="F97" s="61" t="s">
        <v>217</v>
      </c>
      <c r="G97" s="59" t="s">
        <v>2</v>
      </c>
      <c r="H97" s="75" t="s">
        <v>261</v>
      </c>
      <c r="I97" s="32"/>
      <c r="J97" s="70"/>
      <c r="K97" s="71"/>
      <c r="L97" s="64">
        <v>46058</v>
      </c>
      <c r="M97" s="72" t="s">
        <v>208</v>
      </c>
    </row>
    <row r="98" spans="1:13" x14ac:dyDescent="0.35">
      <c r="A98" s="69" t="s">
        <v>232</v>
      </c>
      <c r="B98" s="59" t="s">
        <v>7</v>
      </c>
      <c r="C98" s="59" t="s">
        <v>72</v>
      </c>
      <c r="D98" s="59" t="s">
        <v>370</v>
      </c>
      <c r="E98" s="60">
        <v>44.5</v>
      </c>
      <c r="F98" s="61" t="s">
        <v>217</v>
      </c>
      <c r="G98" s="59" t="s">
        <v>5</v>
      </c>
      <c r="H98" s="75"/>
      <c r="I98" s="32"/>
      <c r="J98" s="70"/>
      <c r="K98" s="71"/>
      <c r="L98" s="64">
        <v>46060</v>
      </c>
      <c r="M98" s="72" t="s">
        <v>175</v>
      </c>
    </row>
    <row r="99" spans="1:13" x14ac:dyDescent="0.35">
      <c r="A99" s="69" t="s">
        <v>232</v>
      </c>
      <c r="B99" s="59" t="s">
        <v>53</v>
      </c>
      <c r="C99" s="59" t="s">
        <v>152</v>
      </c>
      <c r="D99" s="59" t="s">
        <v>371</v>
      </c>
      <c r="E99" s="60">
        <v>48</v>
      </c>
      <c r="F99" s="61" t="s">
        <v>217</v>
      </c>
      <c r="G99" s="59" t="s">
        <v>172</v>
      </c>
      <c r="H99" s="75"/>
      <c r="I99" s="32"/>
      <c r="J99" s="70"/>
      <c r="K99" s="71"/>
      <c r="L99" s="64">
        <v>46063</v>
      </c>
      <c r="M99" s="72" t="s">
        <v>175</v>
      </c>
    </row>
    <row r="100" spans="1:13" x14ac:dyDescent="0.35">
      <c r="A100" s="69" t="s">
        <v>209</v>
      </c>
      <c r="B100" s="59" t="s">
        <v>50</v>
      </c>
      <c r="C100" s="59" t="s">
        <v>51</v>
      </c>
      <c r="D100" s="59" t="s">
        <v>348</v>
      </c>
      <c r="E100" s="60">
        <v>483.17</v>
      </c>
      <c r="F100" s="61" t="s">
        <v>217</v>
      </c>
      <c r="G100" s="59" t="s">
        <v>2</v>
      </c>
      <c r="H100" s="75" t="s">
        <v>263</v>
      </c>
      <c r="I100" s="32">
        <v>6</v>
      </c>
      <c r="J100" s="38" t="s">
        <v>438</v>
      </c>
      <c r="K100" s="71" t="s">
        <v>453</v>
      </c>
      <c r="L100" s="64">
        <v>46065</v>
      </c>
      <c r="M100" s="72" t="s">
        <v>227</v>
      </c>
    </row>
    <row r="101" spans="1:13" x14ac:dyDescent="0.35">
      <c r="A101" s="69" t="s">
        <v>232</v>
      </c>
      <c r="B101" s="59" t="s">
        <v>7</v>
      </c>
      <c r="C101" s="59" t="s">
        <v>8</v>
      </c>
      <c r="D101" s="59" t="s">
        <v>369</v>
      </c>
      <c r="E101" s="60">
        <v>135</v>
      </c>
      <c r="F101" s="61" t="s">
        <v>217</v>
      </c>
      <c r="G101" s="59" t="s">
        <v>157</v>
      </c>
      <c r="H101" s="75"/>
      <c r="I101" s="32"/>
      <c r="J101" s="70"/>
      <c r="K101" s="71"/>
      <c r="L101" s="64">
        <v>46067</v>
      </c>
      <c r="M101" s="72" t="s">
        <v>175</v>
      </c>
    </row>
    <row r="102" spans="1:13" x14ac:dyDescent="0.35">
      <c r="A102" s="69" t="s">
        <v>232</v>
      </c>
      <c r="B102" s="59" t="s">
        <v>34</v>
      </c>
      <c r="C102" s="59" t="s">
        <v>125</v>
      </c>
      <c r="D102" s="59" t="s">
        <v>377</v>
      </c>
      <c r="E102" s="60">
        <v>95</v>
      </c>
      <c r="F102" s="61" t="s">
        <v>217</v>
      </c>
      <c r="G102" s="59" t="s">
        <v>4</v>
      </c>
      <c r="H102" s="75"/>
      <c r="I102" s="32"/>
      <c r="J102" s="70"/>
      <c r="K102" s="71"/>
      <c r="L102" s="64">
        <v>46068</v>
      </c>
      <c r="M102" s="72" t="s">
        <v>175</v>
      </c>
    </row>
    <row r="103" spans="1:13" x14ac:dyDescent="0.35">
      <c r="A103" s="69" t="s">
        <v>232</v>
      </c>
      <c r="B103" s="59" t="s">
        <v>50</v>
      </c>
      <c r="C103" s="59" t="s">
        <v>52</v>
      </c>
      <c r="D103" s="59" t="s">
        <v>346</v>
      </c>
      <c r="E103" s="60">
        <v>170</v>
      </c>
      <c r="F103" s="61" t="s">
        <v>217</v>
      </c>
      <c r="G103" s="59" t="s">
        <v>2</v>
      </c>
      <c r="H103" s="75" t="s">
        <v>261</v>
      </c>
      <c r="I103" s="32">
        <v>4</v>
      </c>
      <c r="J103" s="38" t="s">
        <v>430</v>
      </c>
      <c r="K103" s="71" t="s">
        <v>452</v>
      </c>
      <c r="L103" s="64">
        <v>46068</v>
      </c>
      <c r="M103" s="72" t="s">
        <v>227</v>
      </c>
    </row>
    <row r="104" spans="1:13" x14ac:dyDescent="0.35">
      <c r="A104" s="69" t="s">
        <v>209</v>
      </c>
      <c r="B104" s="59" t="s">
        <v>50</v>
      </c>
      <c r="C104" s="59" t="s">
        <v>219</v>
      </c>
      <c r="D104" s="59" t="s">
        <v>374</v>
      </c>
      <c r="E104" s="60">
        <v>65.400000000000006</v>
      </c>
      <c r="F104" s="61" t="s">
        <v>217</v>
      </c>
      <c r="G104" s="59" t="s">
        <v>2</v>
      </c>
      <c r="H104" s="75" t="s">
        <v>263</v>
      </c>
      <c r="I104" s="32"/>
      <c r="J104" s="70"/>
      <c r="K104" s="71"/>
      <c r="L104" s="64">
        <v>46070</v>
      </c>
      <c r="M104" s="72" t="s">
        <v>208</v>
      </c>
    </row>
    <row r="105" spans="1:13" x14ac:dyDescent="0.35">
      <c r="A105" s="69" t="s">
        <v>260</v>
      </c>
      <c r="B105" s="59" t="s">
        <v>50</v>
      </c>
      <c r="C105" s="59" t="s">
        <v>173</v>
      </c>
      <c r="D105" s="59" t="s">
        <v>360</v>
      </c>
      <c r="E105" s="60">
        <v>99</v>
      </c>
      <c r="F105" s="61" t="s">
        <v>217</v>
      </c>
      <c r="G105" s="59" t="s">
        <v>2</v>
      </c>
      <c r="H105" s="75" t="s">
        <v>262</v>
      </c>
      <c r="I105" s="32">
        <v>2</v>
      </c>
      <c r="J105" s="38" t="s">
        <v>242</v>
      </c>
      <c r="K105" s="71" t="s">
        <v>454</v>
      </c>
      <c r="L105" s="64">
        <v>46071</v>
      </c>
      <c r="M105" s="72" t="s">
        <v>227</v>
      </c>
    </row>
    <row r="106" spans="1:13" x14ac:dyDescent="0.35">
      <c r="A106" s="69" t="s">
        <v>260</v>
      </c>
      <c r="B106" s="59" t="s">
        <v>50</v>
      </c>
      <c r="C106" s="59" t="s">
        <v>143</v>
      </c>
      <c r="D106" s="59" t="s">
        <v>375</v>
      </c>
      <c r="E106" s="60">
        <v>178</v>
      </c>
      <c r="F106" s="61" t="s">
        <v>217</v>
      </c>
      <c r="G106" s="59" t="s">
        <v>2</v>
      </c>
      <c r="H106" s="75" t="s">
        <v>262</v>
      </c>
      <c r="I106" s="32"/>
      <c r="J106" s="70"/>
      <c r="K106" s="71"/>
      <c r="L106" s="64">
        <v>46073</v>
      </c>
      <c r="M106" s="72" t="s">
        <v>175</v>
      </c>
    </row>
    <row r="107" spans="1:13" x14ac:dyDescent="0.35">
      <c r="A107" s="69" t="s">
        <v>210</v>
      </c>
      <c r="B107" s="59" t="s">
        <v>50</v>
      </c>
      <c r="C107" s="59" t="s">
        <v>51</v>
      </c>
      <c r="D107" s="59" t="s">
        <v>361</v>
      </c>
      <c r="E107" s="60">
        <v>99.75</v>
      </c>
      <c r="F107" s="61" t="s">
        <v>217</v>
      </c>
      <c r="G107" s="59" t="s">
        <v>2</v>
      </c>
      <c r="H107" s="75" t="s">
        <v>263</v>
      </c>
      <c r="I107" s="32">
        <v>4</v>
      </c>
      <c r="J107" s="38" t="s">
        <v>429</v>
      </c>
      <c r="K107" s="71" t="s">
        <v>455</v>
      </c>
      <c r="L107" s="64">
        <v>46073</v>
      </c>
      <c r="M107" s="72" t="s">
        <v>227</v>
      </c>
    </row>
    <row r="108" spans="1:13" x14ac:dyDescent="0.35">
      <c r="A108" s="69" t="s">
        <v>232</v>
      </c>
      <c r="B108" s="59" t="s">
        <v>197</v>
      </c>
      <c r="C108" s="59" t="s">
        <v>180</v>
      </c>
      <c r="D108" s="59" t="s">
        <v>376</v>
      </c>
      <c r="E108" s="60">
        <v>112</v>
      </c>
      <c r="F108" s="61" t="s">
        <v>217</v>
      </c>
      <c r="G108" s="59" t="s">
        <v>2</v>
      </c>
      <c r="H108" s="75" t="s">
        <v>261</v>
      </c>
      <c r="I108" s="32"/>
      <c r="J108" s="70"/>
      <c r="K108" s="71"/>
      <c r="L108" s="64">
        <v>46075</v>
      </c>
      <c r="M108" s="72" t="s">
        <v>175</v>
      </c>
    </row>
    <row r="109" spans="1:13" x14ac:dyDescent="0.35">
      <c r="A109" s="69" t="s">
        <v>209</v>
      </c>
      <c r="B109" s="59" t="s">
        <v>63</v>
      </c>
      <c r="C109" s="59" t="s">
        <v>231</v>
      </c>
      <c r="D109" s="59" t="s">
        <v>379</v>
      </c>
      <c r="E109" s="60">
        <v>52</v>
      </c>
      <c r="F109" s="61" t="s">
        <v>217</v>
      </c>
      <c r="G109" s="59" t="s">
        <v>4</v>
      </c>
      <c r="H109" s="75"/>
      <c r="I109" s="32"/>
      <c r="J109" s="70"/>
      <c r="K109" s="71"/>
      <c r="L109" s="64">
        <v>46077</v>
      </c>
      <c r="M109" s="72" t="s">
        <v>223</v>
      </c>
    </row>
    <row r="110" spans="1:13" x14ac:dyDescent="0.35">
      <c r="A110" s="69" t="s">
        <v>210</v>
      </c>
      <c r="B110" s="59" t="s">
        <v>43</v>
      </c>
      <c r="C110" s="59" t="s">
        <v>135</v>
      </c>
      <c r="D110" s="59" t="s">
        <v>378</v>
      </c>
      <c r="E110" s="60">
        <v>280</v>
      </c>
      <c r="F110" s="61" t="s">
        <v>217</v>
      </c>
      <c r="G110" s="59" t="s">
        <v>157</v>
      </c>
      <c r="H110" s="75"/>
      <c r="I110" s="32"/>
      <c r="J110" s="70"/>
      <c r="K110" s="71"/>
      <c r="L110" s="64">
        <v>46079</v>
      </c>
      <c r="M110" s="72" t="s">
        <v>175</v>
      </c>
    </row>
    <row r="111" spans="1:13" x14ac:dyDescent="0.35">
      <c r="A111" s="69" t="s">
        <v>210</v>
      </c>
      <c r="B111" s="59" t="s">
        <v>7</v>
      </c>
      <c r="C111" s="59" t="s">
        <v>70</v>
      </c>
      <c r="D111" s="59" t="s">
        <v>367</v>
      </c>
      <c r="E111" s="60">
        <v>58.9</v>
      </c>
      <c r="F111" s="61" t="s">
        <v>217</v>
      </c>
      <c r="G111" s="59" t="s">
        <v>2</v>
      </c>
      <c r="H111" s="75" t="s">
        <v>263</v>
      </c>
      <c r="I111" s="32"/>
      <c r="J111" s="70"/>
      <c r="K111" s="71"/>
      <c r="L111" s="64">
        <v>46081</v>
      </c>
      <c r="M111" s="72" t="s">
        <v>175</v>
      </c>
    </row>
    <row r="112" spans="1:13" x14ac:dyDescent="0.35">
      <c r="A112" s="69" t="s">
        <v>260</v>
      </c>
      <c r="B112" s="59" t="s">
        <v>7</v>
      </c>
      <c r="C112" s="59" t="s">
        <v>69</v>
      </c>
      <c r="D112" s="59" t="s">
        <v>368</v>
      </c>
      <c r="E112" s="60">
        <v>85.7</v>
      </c>
      <c r="F112" s="61" t="s">
        <v>217</v>
      </c>
      <c r="G112" s="59" t="s">
        <v>2</v>
      </c>
      <c r="H112" s="75" t="s">
        <v>262</v>
      </c>
      <c r="I112" s="32"/>
      <c r="J112" s="70"/>
      <c r="K112" s="71"/>
      <c r="L112" s="64">
        <v>46082</v>
      </c>
      <c r="M112" s="72" t="s">
        <v>175</v>
      </c>
    </row>
    <row r="113" spans="1:13" x14ac:dyDescent="0.35">
      <c r="A113" s="69" t="s">
        <v>260</v>
      </c>
      <c r="B113" s="59" t="s">
        <v>53</v>
      </c>
      <c r="C113" s="59" t="s">
        <v>234</v>
      </c>
      <c r="D113" s="59" t="s">
        <v>382</v>
      </c>
      <c r="E113" s="60">
        <v>50</v>
      </c>
      <c r="F113" s="61" t="s">
        <v>217</v>
      </c>
      <c r="G113" s="59" t="s">
        <v>3</v>
      </c>
      <c r="H113" s="75"/>
      <c r="I113" s="32"/>
      <c r="J113" s="70"/>
      <c r="K113" s="71"/>
      <c r="L113" s="64">
        <v>46083</v>
      </c>
      <c r="M113" s="72" t="s">
        <v>227</v>
      </c>
    </row>
    <row r="114" spans="1:13" x14ac:dyDescent="0.35">
      <c r="A114" s="69" t="s">
        <v>232</v>
      </c>
      <c r="B114" s="59" t="s">
        <v>7</v>
      </c>
      <c r="C114" s="59" t="s">
        <v>9</v>
      </c>
      <c r="D114" s="59" t="s">
        <v>280</v>
      </c>
      <c r="E114" s="60">
        <v>235.6</v>
      </c>
      <c r="F114" s="61" t="s">
        <v>217</v>
      </c>
      <c r="G114" s="59" t="s">
        <v>2</v>
      </c>
      <c r="H114" s="75" t="s">
        <v>261</v>
      </c>
      <c r="I114" s="32"/>
      <c r="J114" s="70"/>
      <c r="K114" s="71"/>
      <c r="L114" s="64">
        <v>46084</v>
      </c>
      <c r="M114" s="72" t="s">
        <v>175</v>
      </c>
    </row>
    <row r="115" spans="1:13" x14ac:dyDescent="0.35">
      <c r="A115" s="69" t="s">
        <v>232</v>
      </c>
      <c r="B115" s="59" t="s">
        <v>50</v>
      </c>
      <c r="C115" s="59" t="s">
        <v>220</v>
      </c>
      <c r="D115" s="59" t="s">
        <v>384</v>
      </c>
      <c r="E115" s="60">
        <v>115.6</v>
      </c>
      <c r="F115" s="61" t="s">
        <v>217</v>
      </c>
      <c r="G115" s="59" t="s">
        <v>2</v>
      </c>
      <c r="H115" s="75" t="s">
        <v>261</v>
      </c>
      <c r="I115" s="32"/>
      <c r="J115" s="70"/>
      <c r="K115" s="71"/>
      <c r="L115" s="64">
        <v>46087</v>
      </c>
      <c r="M115" s="72" t="s">
        <v>175</v>
      </c>
    </row>
    <row r="116" spans="1:13" x14ac:dyDescent="0.35">
      <c r="A116" s="69" t="s">
        <v>210</v>
      </c>
      <c r="B116" s="59" t="s">
        <v>7</v>
      </c>
      <c r="C116" s="59" t="s">
        <v>70</v>
      </c>
      <c r="D116" s="59" t="s">
        <v>380</v>
      </c>
      <c r="E116" s="60">
        <v>47.5</v>
      </c>
      <c r="F116" s="61" t="s">
        <v>217</v>
      </c>
      <c r="G116" s="59" t="s">
        <v>2</v>
      </c>
      <c r="H116" s="75" t="s">
        <v>263</v>
      </c>
      <c r="I116" s="32"/>
      <c r="J116" s="70"/>
      <c r="K116" s="71"/>
      <c r="L116" s="64">
        <v>46088</v>
      </c>
      <c r="M116" s="72" t="s">
        <v>227</v>
      </c>
    </row>
    <row r="117" spans="1:13" x14ac:dyDescent="0.35">
      <c r="A117" s="69" t="s">
        <v>232</v>
      </c>
      <c r="B117" s="59" t="s">
        <v>53</v>
      </c>
      <c r="C117" s="59" t="s">
        <v>152</v>
      </c>
      <c r="D117" s="59" t="s">
        <v>281</v>
      </c>
      <c r="E117" s="60">
        <v>45</v>
      </c>
      <c r="F117" s="61" t="s">
        <v>217</v>
      </c>
      <c r="G117" s="59" t="s">
        <v>2</v>
      </c>
      <c r="H117" s="75" t="s">
        <v>261</v>
      </c>
      <c r="I117" s="32"/>
      <c r="J117" s="70"/>
      <c r="K117" s="71"/>
      <c r="L117" s="64">
        <v>46090</v>
      </c>
      <c r="M117" s="72" t="s">
        <v>175</v>
      </c>
    </row>
    <row r="118" spans="1:13" x14ac:dyDescent="0.35">
      <c r="A118" s="69" t="s">
        <v>209</v>
      </c>
      <c r="B118" s="59" t="s">
        <v>50</v>
      </c>
      <c r="C118" s="59" t="s">
        <v>51</v>
      </c>
      <c r="D118" s="59" t="s">
        <v>348</v>
      </c>
      <c r="E118" s="60">
        <v>483.17</v>
      </c>
      <c r="F118" s="61" t="s">
        <v>217</v>
      </c>
      <c r="G118" s="59" t="s">
        <v>2</v>
      </c>
      <c r="H118" s="75" t="s">
        <v>263</v>
      </c>
      <c r="I118" s="32">
        <v>6</v>
      </c>
      <c r="J118" s="38" t="s">
        <v>439</v>
      </c>
      <c r="K118" s="71" t="s">
        <v>453</v>
      </c>
      <c r="L118" s="64">
        <v>46093</v>
      </c>
      <c r="M118" s="72" t="s">
        <v>227</v>
      </c>
    </row>
    <row r="119" spans="1:13" x14ac:dyDescent="0.35">
      <c r="A119" s="69" t="s">
        <v>260</v>
      </c>
      <c r="B119" s="59" t="s">
        <v>7</v>
      </c>
      <c r="C119" s="59" t="s">
        <v>69</v>
      </c>
      <c r="D119" s="59" t="s">
        <v>381</v>
      </c>
      <c r="E119" s="60">
        <v>69.900000000000006</v>
      </c>
      <c r="F119" s="61" t="s">
        <v>217</v>
      </c>
      <c r="G119" s="59" t="s">
        <v>170</v>
      </c>
      <c r="H119" s="75"/>
      <c r="I119" s="32"/>
      <c r="J119" s="70"/>
      <c r="K119" s="71"/>
      <c r="L119" s="64">
        <v>46094</v>
      </c>
      <c r="M119" s="72" t="s">
        <v>175</v>
      </c>
    </row>
    <row r="120" spans="1:13" x14ac:dyDescent="0.35">
      <c r="A120" s="69" t="s">
        <v>210</v>
      </c>
      <c r="B120" s="59" t="s">
        <v>53</v>
      </c>
      <c r="C120" s="59" t="s">
        <v>196</v>
      </c>
      <c r="D120" s="59" t="s">
        <v>282</v>
      </c>
      <c r="E120" s="60">
        <v>195</v>
      </c>
      <c r="F120" s="61" t="s">
        <v>217</v>
      </c>
      <c r="G120" s="59" t="s">
        <v>157</v>
      </c>
      <c r="H120" s="75"/>
      <c r="I120" s="32"/>
      <c r="J120" s="70"/>
      <c r="K120" s="71"/>
      <c r="L120" s="64">
        <v>46095</v>
      </c>
      <c r="M120" s="72" t="s">
        <v>175</v>
      </c>
    </row>
    <row r="121" spans="1:13" x14ac:dyDescent="0.35">
      <c r="A121" s="69" t="s">
        <v>209</v>
      </c>
      <c r="B121" s="59" t="s">
        <v>21</v>
      </c>
      <c r="C121" s="59" t="s">
        <v>88</v>
      </c>
      <c r="D121" s="59" t="s">
        <v>383</v>
      </c>
      <c r="E121" s="60">
        <v>890</v>
      </c>
      <c r="F121" s="61" t="s">
        <v>217</v>
      </c>
      <c r="G121" s="59" t="s">
        <v>2</v>
      </c>
      <c r="H121" s="75" t="s">
        <v>263</v>
      </c>
      <c r="I121" s="32"/>
      <c r="J121" s="70"/>
      <c r="K121" s="71"/>
      <c r="L121" s="64">
        <v>46096</v>
      </c>
      <c r="M121" s="72" t="s">
        <v>175</v>
      </c>
    </row>
    <row r="122" spans="1:13" x14ac:dyDescent="0.35">
      <c r="A122" s="69" t="s">
        <v>232</v>
      </c>
      <c r="B122" s="59" t="s">
        <v>50</v>
      </c>
      <c r="C122" s="59" t="s">
        <v>52</v>
      </c>
      <c r="D122" s="59" t="s">
        <v>346</v>
      </c>
      <c r="E122" s="60">
        <v>170</v>
      </c>
      <c r="F122" s="61" t="s">
        <v>217</v>
      </c>
      <c r="G122" s="59" t="s">
        <v>2</v>
      </c>
      <c r="H122" s="75" t="s">
        <v>261</v>
      </c>
      <c r="I122" s="32">
        <v>4</v>
      </c>
      <c r="J122" s="38" t="s">
        <v>431</v>
      </c>
      <c r="K122" s="71" t="s">
        <v>452</v>
      </c>
      <c r="L122" s="64">
        <v>46096</v>
      </c>
      <c r="M122" s="72" t="s">
        <v>227</v>
      </c>
    </row>
    <row r="123" spans="1:13" x14ac:dyDescent="0.35">
      <c r="A123" s="69" t="s">
        <v>210</v>
      </c>
      <c r="B123" s="59" t="s">
        <v>34</v>
      </c>
      <c r="C123" s="59" t="s">
        <v>35</v>
      </c>
      <c r="D123" s="59" t="s">
        <v>388</v>
      </c>
      <c r="E123" s="60">
        <v>195</v>
      </c>
      <c r="F123" s="61" t="s">
        <v>217</v>
      </c>
      <c r="G123" s="59" t="s">
        <v>2</v>
      </c>
      <c r="H123" s="75" t="s">
        <v>263</v>
      </c>
      <c r="I123" s="32"/>
      <c r="J123" s="70"/>
      <c r="K123" s="71"/>
      <c r="L123" s="64">
        <v>46097</v>
      </c>
      <c r="M123" s="72" t="s">
        <v>175</v>
      </c>
    </row>
    <row r="124" spans="1:13" x14ac:dyDescent="0.35">
      <c r="A124" s="69" t="s">
        <v>260</v>
      </c>
      <c r="B124" s="59" t="s">
        <v>50</v>
      </c>
      <c r="C124" s="59" t="s">
        <v>173</v>
      </c>
      <c r="D124" s="59" t="s">
        <v>385</v>
      </c>
      <c r="E124" s="60">
        <v>78</v>
      </c>
      <c r="F124" s="61" t="s">
        <v>217</v>
      </c>
      <c r="G124" s="59" t="s">
        <v>2</v>
      </c>
      <c r="H124" s="75" t="s">
        <v>262</v>
      </c>
      <c r="I124" s="32">
        <v>3</v>
      </c>
      <c r="J124" s="38" t="s">
        <v>432</v>
      </c>
      <c r="K124" s="71" t="s">
        <v>456</v>
      </c>
      <c r="L124" s="64">
        <v>46100</v>
      </c>
      <c r="M124" s="72" t="s">
        <v>175</v>
      </c>
    </row>
    <row r="125" spans="1:13" x14ac:dyDescent="0.35">
      <c r="A125" s="69" t="s">
        <v>210</v>
      </c>
      <c r="B125" s="59" t="s">
        <v>50</v>
      </c>
      <c r="C125" s="59" t="s">
        <v>51</v>
      </c>
      <c r="D125" s="59" t="s">
        <v>361</v>
      </c>
      <c r="E125" s="60">
        <v>99.75</v>
      </c>
      <c r="F125" s="61" t="s">
        <v>217</v>
      </c>
      <c r="G125" s="59" t="s">
        <v>2</v>
      </c>
      <c r="H125" s="75" t="s">
        <v>263</v>
      </c>
      <c r="I125" s="32">
        <v>4</v>
      </c>
      <c r="J125" s="38" t="s">
        <v>430</v>
      </c>
      <c r="K125" s="71" t="s">
        <v>455</v>
      </c>
      <c r="L125" s="64">
        <v>46101</v>
      </c>
      <c r="M125" s="72" t="s">
        <v>227</v>
      </c>
    </row>
    <row r="126" spans="1:13" x14ac:dyDescent="0.35">
      <c r="A126" s="69" t="s">
        <v>232</v>
      </c>
      <c r="B126" s="59" t="s">
        <v>7</v>
      </c>
      <c r="C126" s="59" t="s">
        <v>8</v>
      </c>
      <c r="D126" s="59" t="s">
        <v>330</v>
      </c>
      <c r="E126" s="60">
        <v>92</v>
      </c>
      <c r="F126" s="61" t="s">
        <v>217</v>
      </c>
      <c r="G126" s="59" t="s">
        <v>2</v>
      </c>
      <c r="H126" s="75" t="s">
        <v>261</v>
      </c>
      <c r="I126" s="32"/>
      <c r="J126" s="70"/>
      <c r="K126" s="71"/>
      <c r="L126" s="64">
        <v>46102</v>
      </c>
      <c r="M126" s="72" t="s">
        <v>208</v>
      </c>
    </row>
    <row r="127" spans="1:13" x14ac:dyDescent="0.35">
      <c r="A127" s="69" t="s">
        <v>210</v>
      </c>
      <c r="B127" s="59" t="s">
        <v>50</v>
      </c>
      <c r="C127" s="59" t="s">
        <v>51</v>
      </c>
      <c r="D127" s="59" t="s">
        <v>386</v>
      </c>
      <c r="E127" s="60">
        <v>95.67</v>
      </c>
      <c r="F127" s="61" t="s">
        <v>217</v>
      </c>
      <c r="G127" s="59" t="s">
        <v>2</v>
      </c>
      <c r="H127" s="75" t="s">
        <v>263</v>
      </c>
      <c r="I127" s="32">
        <v>3</v>
      </c>
      <c r="J127" s="38" t="s">
        <v>432</v>
      </c>
      <c r="K127" s="71" t="s">
        <v>457</v>
      </c>
      <c r="L127" s="64">
        <v>46103</v>
      </c>
      <c r="M127" s="72" t="s">
        <v>175</v>
      </c>
    </row>
    <row r="128" spans="1:13" x14ac:dyDescent="0.35">
      <c r="A128" s="69" t="s">
        <v>209</v>
      </c>
      <c r="B128" s="59" t="s">
        <v>63</v>
      </c>
      <c r="C128" s="59" t="s">
        <v>231</v>
      </c>
      <c r="D128" s="59" t="s">
        <v>389</v>
      </c>
      <c r="E128" s="60">
        <v>75</v>
      </c>
      <c r="F128" s="61" t="s">
        <v>217</v>
      </c>
      <c r="G128" s="59" t="s">
        <v>157</v>
      </c>
      <c r="H128" s="75"/>
      <c r="I128" s="32"/>
      <c r="J128" s="70"/>
      <c r="K128" s="71"/>
      <c r="L128" s="64">
        <v>46106</v>
      </c>
      <c r="M128" s="72" t="s">
        <v>175</v>
      </c>
    </row>
    <row r="129" spans="1:13" x14ac:dyDescent="0.35">
      <c r="A129" s="69" t="s">
        <v>232</v>
      </c>
      <c r="B129" s="59" t="s">
        <v>197</v>
      </c>
      <c r="C129" s="59" t="s">
        <v>18</v>
      </c>
      <c r="D129" s="59" t="s">
        <v>387</v>
      </c>
      <c r="E129" s="60">
        <v>155</v>
      </c>
      <c r="F129" s="61" t="s">
        <v>217</v>
      </c>
      <c r="G129" s="59" t="s">
        <v>4</v>
      </c>
      <c r="H129" s="75"/>
      <c r="I129" s="32"/>
      <c r="J129" s="70"/>
      <c r="K129" s="71"/>
      <c r="L129" s="64">
        <v>46109</v>
      </c>
      <c r="M129" s="72" t="s">
        <v>223</v>
      </c>
    </row>
    <row r="130" spans="1:13" x14ac:dyDescent="0.35">
      <c r="A130" s="69" t="s">
        <v>260</v>
      </c>
      <c r="B130" s="59" t="s">
        <v>53</v>
      </c>
      <c r="C130" s="59" t="s">
        <v>234</v>
      </c>
      <c r="D130" s="59" t="s">
        <v>394</v>
      </c>
      <c r="E130" s="60">
        <v>50</v>
      </c>
      <c r="F130" s="61" t="s">
        <v>217</v>
      </c>
      <c r="G130" s="59" t="s">
        <v>3</v>
      </c>
      <c r="H130" s="75"/>
      <c r="I130" s="32"/>
      <c r="J130" s="70"/>
      <c r="K130" s="71"/>
      <c r="L130" s="64">
        <v>46114</v>
      </c>
      <c r="M130" s="72" t="s">
        <v>175</v>
      </c>
    </row>
    <row r="131" spans="1:13" x14ac:dyDescent="0.35">
      <c r="A131" s="69" t="s">
        <v>232</v>
      </c>
      <c r="B131" s="59" t="s">
        <v>7</v>
      </c>
      <c r="C131" s="59" t="s">
        <v>9</v>
      </c>
      <c r="D131" s="59" t="s">
        <v>283</v>
      </c>
      <c r="E131" s="60">
        <v>248.9</v>
      </c>
      <c r="F131" s="61" t="s">
        <v>217</v>
      </c>
      <c r="G131" s="59" t="s">
        <v>2</v>
      </c>
      <c r="H131" s="75" t="s">
        <v>261</v>
      </c>
      <c r="I131" s="32"/>
      <c r="J131" s="70"/>
      <c r="K131" s="71"/>
      <c r="L131" s="64">
        <v>46116</v>
      </c>
      <c r="M131" s="72" t="s">
        <v>227</v>
      </c>
    </row>
    <row r="132" spans="1:13" x14ac:dyDescent="0.35">
      <c r="A132" s="69" t="s">
        <v>232</v>
      </c>
      <c r="B132" s="59" t="s">
        <v>50</v>
      </c>
      <c r="C132" s="59" t="s">
        <v>220</v>
      </c>
      <c r="D132" s="59" t="s">
        <v>395</v>
      </c>
      <c r="E132" s="60">
        <v>128.4</v>
      </c>
      <c r="F132" s="61" t="s">
        <v>217</v>
      </c>
      <c r="G132" s="59" t="s">
        <v>2</v>
      </c>
      <c r="H132" s="75" t="s">
        <v>261</v>
      </c>
      <c r="I132" s="32"/>
      <c r="J132" s="70"/>
      <c r="K132" s="71"/>
      <c r="L132" s="64">
        <v>46118</v>
      </c>
      <c r="M132" s="72" t="s">
        <v>175</v>
      </c>
    </row>
    <row r="133" spans="1:13" x14ac:dyDescent="0.35">
      <c r="A133" s="69" t="s">
        <v>210</v>
      </c>
      <c r="B133" s="59" t="s">
        <v>7</v>
      </c>
      <c r="C133" s="59" t="s">
        <v>70</v>
      </c>
      <c r="D133" s="59" t="s">
        <v>390</v>
      </c>
      <c r="E133" s="60">
        <v>55.4</v>
      </c>
      <c r="F133" s="61" t="s">
        <v>217</v>
      </c>
      <c r="G133" s="59" t="s">
        <v>2</v>
      </c>
      <c r="H133" s="75" t="s">
        <v>263</v>
      </c>
      <c r="I133" s="32"/>
      <c r="J133" s="70"/>
      <c r="K133" s="71"/>
      <c r="L133" s="64">
        <v>46119</v>
      </c>
      <c r="M133" s="72" t="s">
        <v>175</v>
      </c>
    </row>
    <row r="134" spans="1:13" x14ac:dyDescent="0.35">
      <c r="A134" s="65" t="s">
        <v>232</v>
      </c>
      <c r="B134" s="52" t="s">
        <v>53</v>
      </c>
      <c r="C134" s="52" t="s">
        <v>152</v>
      </c>
      <c r="D134" s="52" t="s">
        <v>284</v>
      </c>
      <c r="E134" s="53">
        <v>51</v>
      </c>
      <c r="F134" s="54" t="s">
        <v>217</v>
      </c>
      <c r="G134" s="52" t="s">
        <v>2</v>
      </c>
      <c r="H134" s="74" t="s">
        <v>261</v>
      </c>
      <c r="I134" s="13"/>
      <c r="J134" s="66"/>
      <c r="K134" s="67"/>
      <c r="L134" s="55">
        <v>46121</v>
      </c>
      <c r="M134" s="68" t="s">
        <v>208</v>
      </c>
    </row>
    <row r="135" spans="1:13" x14ac:dyDescent="0.35">
      <c r="A135" s="65" t="s">
        <v>232</v>
      </c>
      <c r="B135" s="52" t="s">
        <v>34</v>
      </c>
      <c r="C135" s="52" t="s">
        <v>191</v>
      </c>
      <c r="D135" s="52" t="s">
        <v>399</v>
      </c>
      <c r="E135" s="53">
        <v>89.9</v>
      </c>
      <c r="F135" s="54" t="s">
        <v>217</v>
      </c>
      <c r="G135" s="52" t="s">
        <v>2</v>
      </c>
      <c r="H135" s="74" t="s">
        <v>261</v>
      </c>
      <c r="I135" s="13"/>
      <c r="J135" s="66"/>
      <c r="K135" s="67"/>
      <c r="L135" s="55">
        <v>46122</v>
      </c>
      <c r="M135" s="68" t="s">
        <v>227</v>
      </c>
    </row>
    <row r="136" spans="1:13" x14ac:dyDescent="0.35">
      <c r="A136" s="65" t="s">
        <v>260</v>
      </c>
      <c r="B136" s="52" t="s">
        <v>7</v>
      </c>
      <c r="C136" s="52" t="s">
        <v>69</v>
      </c>
      <c r="D136" s="52" t="s">
        <v>391</v>
      </c>
      <c r="E136" s="53">
        <v>74.3</v>
      </c>
      <c r="F136" s="54" t="s">
        <v>217</v>
      </c>
      <c r="G136" s="52" t="s">
        <v>2</v>
      </c>
      <c r="H136" s="74" t="s">
        <v>262</v>
      </c>
      <c r="I136" s="13"/>
      <c r="J136" s="66"/>
      <c r="K136" s="67"/>
      <c r="L136" s="55">
        <v>46123</v>
      </c>
      <c r="M136" s="68" t="s">
        <v>208</v>
      </c>
    </row>
    <row r="137" spans="1:13" x14ac:dyDescent="0.35">
      <c r="A137" s="65" t="s">
        <v>209</v>
      </c>
      <c r="B137" s="52" t="s">
        <v>50</v>
      </c>
      <c r="C137" s="52" t="s">
        <v>51</v>
      </c>
      <c r="D137" s="52" t="s">
        <v>348</v>
      </c>
      <c r="E137" s="53">
        <v>483.17</v>
      </c>
      <c r="F137" s="54" t="s">
        <v>217</v>
      </c>
      <c r="G137" s="52" t="s">
        <v>2</v>
      </c>
      <c r="H137" s="74" t="s">
        <v>263</v>
      </c>
      <c r="I137" s="13">
        <v>6</v>
      </c>
      <c r="J137" s="31" t="s">
        <v>440</v>
      </c>
      <c r="K137" s="67" t="s">
        <v>453</v>
      </c>
      <c r="L137" s="55">
        <v>46124</v>
      </c>
      <c r="M137" s="68" t="s">
        <v>227</v>
      </c>
    </row>
    <row r="138" spans="1:13" x14ac:dyDescent="0.35">
      <c r="A138" s="65" t="s">
        <v>210</v>
      </c>
      <c r="B138" s="52" t="s">
        <v>53</v>
      </c>
      <c r="C138" s="52" t="s">
        <v>196</v>
      </c>
      <c r="D138" s="52" t="s">
        <v>282</v>
      </c>
      <c r="E138" s="53">
        <v>205</v>
      </c>
      <c r="F138" s="54" t="s">
        <v>217</v>
      </c>
      <c r="G138" s="52" t="s">
        <v>2</v>
      </c>
      <c r="H138" s="74" t="s">
        <v>263</v>
      </c>
      <c r="I138" s="13"/>
      <c r="J138" s="66"/>
      <c r="K138" s="67"/>
      <c r="L138" s="55">
        <v>46124</v>
      </c>
      <c r="M138" s="68" t="s">
        <v>175</v>
      </c>
    </row>
    <row r="139" spans="1:13" x14ac:dyDescent="0.35">
      <c r="A139" s="65" t="s">
        <v>260</v>
      </c>
      <c r="B139" s="52" t="s">
        <v>50</v>
      </c>
      <c r="C139" s="52" t="s">
        <v>173</v>
      </c>
      <c r="D139" s="52" t="s">
        <v>396</v>
      </c>
      <c r="E139" s="53">
        <v>165</v>
      </c>
      <c r="F139" s="54" t="s">
        <v>217</v>
      </c>
      <c r="G139" s="52" t="s">
        <v>2</v>
      </c>
      <c r="H139" s="74" t="s">
        <v>262</v>
      </c>
      <c r="I139" s="13"/>
      <c r="J139" s="66"/>
      <c r="K139" s="67"/>
      <c r="L139" s="55">
        <v>46128</v>
      </c>
      <c r="M139" s="68" t="s">
        <v>175</v>
      </c>
    </row>
    <row r="140" spans="1:13" x14ac:dyDescent="0.35">
      <c r="A140" s="65" t="s">
        <v>210</v>
      </c>
      <c r="B140" s="52" t="s">
        <v>43</v>
      </c>
      <c r="C140" s="52" t="s">
        <v>46</v>
      </c>
      <c r="D140" s="52" t="s">
        <v>400</v>
      </c>
      <c r="E140" s="53">
        <v>75.900000000000006</v>
      </c>
      <c r="F140" s="54" t="s">
        <v>217</v>
      </c>
      <c r="G140" s="52" t="s">
        <v>157</v>
      </c>
      <c r="H140" s="74"/>
      <c r="I140" s="13"/>
      <c r="J140" s="66"/>
      <c r="K140" s="67"/>
      <c r="L140" s="55">
        <v>46129</v>
      </c>
      <c r="M140" s="68" t="s">
        <v>175</v>
      </c>
    </row>
    <row r="141" spans="1:13" x14ac:dyDescent="0.35">
      <c r="A141" s="65" t="s">
        <v>209</v>
      </c>
      <c r="B141" s="52" t="s">
        <v>7</v>
      </c>
      <c r="C141" s="52" t="s">
        <v>73</v>
      </c>
      <c r="D141" s="52" t="s">
        <v>393</v>
      </c>
      <c r="E141" s="53">
        <v>42.9</v>
      </c>
      <c r="F141" s="54" t="s">
        <v>217</v>
      </c>
      <c r="G141" s="52" t="s">
        <v>5</v>
      </c>
      <c r="H141" s="74"/>
      <c r="I141" s="13"/>
      <c r="J141" s="66"/>
      <c r="K141" s="67"/>
      <c r="L141" s="55">
        <v>46130</v>
      </c>
      <c r="M141" s="68" t="s">
        <v>175</v>
      </c>
    </row>
    <row r="142" spans="1:13" x14ac:dyDescent="0.35">
      <c r="A142" s="65" t="s">
        <v>232</v>
      </c>
      <c r="B142" s="52" t="s">
        <v>7</v>
      </c>
      <c r="C142" s="52" t="s">
        <v>8</v>
      </c>
      <c r="D142" s="52" t="s">
        <v>392</v>
      </c>
      <c r="E142" s="53">
        <v>148</v>
      </c>
      <c r="F142" s="54" t="s">
        <v>217</v>
      </c>
      <c r="G142" s="52" t="s">
        <v>170</v>
      </c>
      <c r="H142" s="74"/>
      <c r="I142" s="13"/>
      <c r="J142" s="66"/>
      <c r="K142" s="67"/>
      <c r="L142" s="55">
        <v>46131</v>
      </c>
      <c r="M142" s="68" t="s">
        <v>175</v>
      </c>
    </row>
    <row r="143" spans="1:13" x14ac:dyDescent="0.35">
      <c r="A143" s="65" t="s">
        <v>260</v>
      </c>
      <c r="B143" s="52" t="s">
        <v>50</v>
      </c>
      <c r="C143" s="52" t="s">
        <v>173</v>
      </c>
      <c r="D143" s="52" t="s">
        <v>385</v>
      </c>
      <c r="E143" s="53">
        <v>78</v>
      </c>
      <c r="F143" s="54" t="s">
        <v>217</v>
      </c>
      <c r="G143" s="52" t="s">
        <v>2</v>
      </c>
      <c r="H143" s="74" t="s">
        <v>262</v>
      </c>
      <c r="I143" s="13">
        <v>3</v>
      </c>
      <c r="J143" s="31" t="s">
        <v>433</v>
      </c>
      <c r="K143" s="67" t="s">
        <v>456</v>
      </c>
      <c r="L143" s="55">
        <v>46131</v>
      </c>
      <c r="M143" s="68" t="s">
        <v>223</v>
      </c>
    </row>
    <row r="144" spans="1:13" x14ac:dyDescent="0.35">
      <c r="A144" s="65" t="s">
        <v>260</v>
      </c>
      <c r="B144" s="52" t="s">
        <v>36</v>
      </c>
      <c r="C144" s="52" t="s">
        <v>128</v>
      </c>
      <c r="D144" s="52" t="s">
        <v>402</v>
      </c>
      <c r="E144" s="53">
        <v>165</v>
      </c>
      <c r="F144" s="54" t="s">
        <v>218</v>
      </c>
      <c r="G144" s="52" t="s">
        <v>4</v>
      </c>
      <c r="H144" s="74"/>
      <c r="I144" s="13"/>
      <c r="J144" s="66"/>
      <c r="K144" s="67"/>
      <c r="L144" s="55">
        <v>46132</v>
      </c>
      <c r="M144" s="68" t="s">
        <v>257</v>
      </c>
    </row>
    <row r="145" spans="1:13" x14ac:dyDescent="0.35">
      <c r="A145" s="65" t="s">
        <v>210</v>
      </c>
      <c r="B145" s="52" t="s">
        <v>50</v>
      </c>
      <c r="C145" s="52" t="s">
        <v>51</v>
      </c>
      <c r="D145" s="52" t="s">
        <v>361</v>
      </c>
      <c r="E145" s="53">
        <v>99.75</v>
      </c>
      <c r="F145" s="54" t="s">
        <v>217</v>
      </c>
      <c r="G145" s="52" t="s">
        <v>2</v>
      </c>
      <c r="H145" s="74" t="s">
        <v>263</v>
      </c>
      <c r="I145" s="13">
        <v>4</v>
      </c>
      <c r="J145" s="31" t="s">
        <v>431</v>
      </c>
      <c r="K145" s="67" t="s">
        <v>455</v>
      </c>
      <c r="L145" s="55">
        <v>46132</v>
      </c>
      <c r="M145" s="68" t="s">
        <v>223</v>
      </c>
    </row>
    <row r="146" spans="1:13" x14ac:dyDescent="0.35">
      <c r="A146" s="65" t="s">
        <v>210</v>
      </c>
      <c r="B146" s="52" t="s">
        <v>50</v>
      </c>
      <c r="C146" s="52" t="s">
        <v>51</v>
      </c>
      <c r="D146" s="52" t="s">
        <v>386</v>
      </c>
      <c r="E146" s="53">
        <v>95.67</v>
      </c>
      <c r="F146" s="54" t="s">
        <v>217</v>
      </c>
      <c r="G146" s="52" t="s">
        <v>2</v>
      </c>
      <c r="H146" s="74" t="s">
        <v>263</v>
      </c>
      <c r="I146" s="13">
        <v>3</v>
      </c>
      <c r="J146" s="31" t="s">
        <v>433</v>
      </c>
      <c r="K146" s="67" t="s">
        <v>457</v>
      </c>
      <c r="L146" s="55">
        <v>46134</v>
      </c>
      <c r="M146" s="68" t="s">
        <v>223</v>
      </c>
    </row>
    <row r="147" spans="1:13" x14ac:dyDescent="0.35">
      <c r="A147" s="65" t="s">
        <v>210</v>
      </c>
      <c r="B147" s="52" t="s">
        <v>50</v>
      </c>
      <c r="C147" s="52" t="s">
        <v>51</v>
      </c>
      <c r="D147" s="52" t="s">
        <v>397</v>
      </c>
      <c r="E147" s="53">
        <v>216.5</v>
      </c>
      <c r="F147" s="54" t="s">
        <v>217</v>
      </c>
      <c r="G147" s="52" t="s">
        <v>2</v>
      </c>
      <c r="H147" s="74" t="s">
        <v>263</v>
      </c>
      <c r="I147" s="13">
        <v>6</v>
      </c>
      <c r="J147" s="31" t="s">
        <v>436</v>
      </c>
      <c r="K147" s="80" t="s">
        <v>458</v>
      </c>
      <c r="L147" s="55">
        <v>46135</v>
      </c>
      <c r="M147" s="68" t="s">
        <v>175</v>
      </c>
    </row>
    <row r="148" spans="1:13" x14ac:dyDescent="0.35">
      <c r="A148" s="65" t="s">
        <v>232</v>
      </c>
      <c r="B148" s="52" t="s">
        <v>197</v>
      </c>
      <c r="C148" s="52" t="s">
        <v>19</v>
      </c>
      <c r="D148" s="52" t="s">
        <v>398</v>
      </c>
      <c r="E148" s="53">
        <v>70</v>
      </c>
      <c r="F148" s="54" t="s">
        <v>217</v>
      </c>
      <c r="G148" s="52" t="s">
        <v>4</v>
      </c>
      <c r="H148" s="74"/>
      <c r="I148" s="13"/>
      <c r="J148" s="66"/>
      <c r="K148" s="67"/>
      <c r="L148" s="55">
        <v>46137</v>
      </c>
      <c r="M148" s="68" t="s">
        <v>223</v>
      </c>
    </row>
    <row r="149" spans="1:13" x14ac:dyDescent="0.35">
      <c r="A149" s="65" t="s">
        <v>209</v>
      </c>
      <c r="B149" s="52" t="s">
        <v>63</v>
      </c>
      <c r="C149" s="52" t="s">
        <v>231</v>
      </c>
      <c r="D149" s="52" t="s">
        <v>401</v>
      </c>
      <c r="E149" s="53">
        <v>63</v>
      </c>
      <c r="F149" s="54" t="s">
        <v>217</v>
      </c>
      <c r="G149" s="52" t="s">
        <v>4</v>
      </c>
      <c r="H149" s="74"/>
      <c r="I149" s="13"/>
      <c r="J149" s="66"/>
      <c r="K149" s="67"/>
      <c r="L149" s="55">
        <v>46140</v>
      </c>
      <c r="M149" s="68" t="s">
        <v>175</v>
      </c>
    </row>
    <row r="150" spans="1:13" x14ac:dyDescent="0.35">
      <c r="A150" s="65" t="s">
        <v>260</v>
      </c>
      <c r="B150" s="52" t="s">
        <v>53</v>
      </c>
      <c r="C150" s="52" t="s">
        <v>234</v>
      </c>
      <c r="D150" s="52" t="s">
        <v>286</v>
      </c>
      <c r="E150" s="53">
        <v>50</v>
      </c>
      <c r="F150" s="54" t="s">
        <v>217</v>
      </c>
      <c r="G150" s="52" t="s">
        <v>172</v>
      </c>
      <c r="H150" s="74"/>
      <c r="I150" s="13"/>
      <c r="J150" s="66"/>
      <c r="K150" s="67"/>
      <c r="L150" s="55">
        <v>46144</v>
      </c>
      <c r="M150" s="68" t="s">
        <v>175</v>
      </c>
    </row>
    <row r="151" spans="1:13" x14ac:dyDescent="0.35">
      <c r="A151" s="65" t="s">
        <v>232</v>
      </c>
      <c r="B151" s="52" t="s">
        <v>7</v>
      </c>
      <c r="C151" s="52" t="s">
        <v>9</v>
      </c>
      <c r="D151" s="52" t="s">
        <v>403</v>
      </c>
      <c r="E151" s="53">
        <v>252.5</v>
      </c>
      <c r="F151" s="54" t="s">
        <v>217</v>
      </c>
      <c r="G151" s="52" t="s">
        <v>2</v>
      </c>
      <c r="H151" s="74" t="s">
        <v>261</v>
      </c>
      <c r="I151" s="13"/>
      <c r="J151" s="66"/>
      <c r="K151" s="67"/>
      <c r="L151" s="55">
        <v>46145</v>
      </c>
      <c r="M151" s="68" t="s">
        <v>175</v>
      </c>
    </row>
    <row r="152" spans="1:13" x14ac:dyDescent="0.35">
      <c r="A152" s="65" t="s">
        <v>209</v>
      </c>
      <c r="B152" s="52" t="s">
        <v>7</v>
      </c>
      <c r="C152" s="52" t="s">
        <v>73</v>
      </c>
      <c r="D152" s="52" t="s">
        <v>407</v>
      </c>
      <c r="E152" s="53">
        <v>31.5</v>
      </c>
      <c r="F152" s="54" t="s">
        <v>217</v>
      </c>
      <c r="G152" s="52" t="s">
        <v>5</v>
      </c>
      <c r="H152" s="74"/>
      <c r="I152" s="13"/>
      <c r="J152" s="66"/>
      <c r="K152" s="67"/>
      <c r="L152" s="55">
        <v>46148</v>
      </c>
      <c r="M152" s="68" t="s">
        <v>175</v>
      </c>
    </row>
    <row r="153" spans="1:13" x14ac:dyDescent="0.35">
      <c r="A153" s="65" t="s">
        <v>210</v>
      </c>
      <c r="B153" s="52" t="s">
        <v>7</v>
      </c>
      <c r="C153" s="52" t="s">
        <v>70</v>
      </c>
      <c r="D153" s="52" t="s">
        <v>404</v>
      </c>
      <c r="E153" s="53">
        <v>58.9</v>
      </c>
      <c r="F153" s="54" t="s">
        <v>217</v>
      </c>
      <c r="G153" s="52" t="s">
        <v>2</v>
      </c>
      <c r="H153" s="74" t="s">
        <v>263</v>
      </c>
      <c r="I153" s="13"/>
      <c r="J153" s="66"/>
      <c r="K153" s="67"/>
      <c r="L153" s="55">
        <v>46150</v>
      </c>
      <c r="M153" s="68" t="s">
        <v>175</v>
      </c>
    </row>
    <row r="154" spans="1:13" x14ac:dyDescent="0.35">
      <c r="A154" s="65" t="s">
        <v>232</v>
      </c>
      <c r="B154" s="52" t="s">
        <v>53</v>
      </c>
      <c r="C154" s="52" t="s">
        <v>152</v>
      </c>
      <c r="D154" s="52" t="s">
        <v>409</v>
      </c>
      <c r="E154" s="53">
        <v>43</v>
      </c>
      <c r="F154" s="54" t="s">
        <v>217</v>
      </c>
      <c r="G154" s="52" t="s">
        <v>2</v>
      </c>
      <c r="H154" s="74" t="s">
        <v>261</v>
      </c>
      <c r="I154" s="13"/>
      <c r="J154" s="66"/>
      <c r="K154" s="67"/>
      <c r="L154" s="55">
        <v>46150</v>
      </c>
      <c r="M154" s="68" t="s">
        <v>175</v>
      </c>
    </row>
    <row r="155" spans="1:13" x14ac:dyDescent="0.35">
      <c r="A155" s="65" t="s">
        <v>210</v>
      </c>
      <c r="B155" s="52" t="s">
        <v>53</v>
      </c>
      <c r="C155" s="52" t="s">
        <v>196</v>
      </c>
      <c r="D155" s="52" t="s">
        <v>282</v>
      </c>
      <c r="E155" s="53">
        <v>210</v>
      </c>
      <c r="F155" s="54" t="s">
        <v>217</v>
      </c>
      <c r="G155" s="52" t="s">
        <v>2</v>
      </c>
      <c r="H155" s="74" t="s">
        <v>263</v>
      </c>
      <c r="I155" s="13"/>
      <c r="J155" s="66"/>
      <c r="K155" s="67"/>
      <c r="L155" s="55">
        <v>46151</v>
      </c>
      <c r="M155" s="68" t="s">
        <v>175</v>
      </c>
    </row>
    <row r="156" spans="1:13" x14ac:dyDescent="0.35">
      <c r="A156" s="65" t="s">
        <v>260</v>
      </c>
      <c r="B156" s="52" t="s">
        <v>7</v>
      </c>
      <c r="C156" s="52" t="s">
        <v>69</v>
      </c>
      <c r="D156" s="52" t="s">
        <v>405</v>
      </c>
      <c r="E156" s="53">
        <v>78.400000000000006</v>
      </c>
      <c r="F156" s="54" t="s">
        <v>217</v>
      </c>
      <c r="G156" s="52" t="s">
        <v>157</v>
      </c>
      <c r="H156" s="74"/>
      <c r="I156" s="13"/>
      <c r="J156" s="66"/>
      <c r="K156" s="67"/>
      <c r="L156" s="55">
        <v>46152</v>
      </c>
      <c r="M156" s="68" t="s">
        <v>175</v>
      </c>
    </row>
    <row r="157" spans="1:13" x14ac:dyDescent="0.35">
      <c r="A157" s="65" t="s">
        <v>232</v>
      </c>
      <c r="B157" s="52" t="s">
        <v>7</v>
      </c>
      <c r="C157" s="52" t="s">
        <v>8</v>
      </c>
      <c r="D157" s="52" t="s">
        <v>406</v>
      </c>
      <c r="E157" s="53">
        <v>165</v>
      </c>
      <c r="F157" s="54" t="s">
        <v>217</v>
      </c>
      <c r="G157" s="52" t="s">
        <v>2</v>
      </c>
      <c r="H157" s="74" t="s">
        <v>261</v>
      </c>
      <c r="I157" s="13"/>
      <c r="J157" s="66"/>
      <c r="K157" s="67"/>
      <c r="L157" s="55">
        <v>46153</v>
      </c>
      <c r="M157" s="68" t="s">
        <v>175</v>
      </c>
    </row>
    <row r="158" spans="1:13" x14ac:dyDescent="0.35">
      <c r="A158" s="65" t="s">
        <v>260</v>
      </c>
      <c r="B158" s="52" t="s">
        <v>36</v>
      </c>
      <c r="C158" s="52" t="s">
        <v>128</v>
      </c>
      <c r="D158" s="52" t="s">
        <v>418</v>
      </c>
      <c r="E158" s="53">
        <v>345</v>
      </c>
      <c r="F158" s="54" t="s">
        <v>218</v>
      </c>
      <c r="G158" s="52" t="s">
        <v>4</v>
      </c>
      <c r="H158" s="74"/>
      <c r="I158" s="13"/>
      <c r="J158" s="66"/>
      <c r="K158" s="67"/>
      <c r="L158" s="55">
        <v>46154</v>
      </c>
      <c r="M158" s="68" t="s">
        <v>175</v>
      </c>
    </row>
    <row r="159" spans="1:13" x14ac:dyDescent="0.35">
      <c r="A159" s="65" t="s">
        <v>209</v>
      </c>
      <c r="B159" s="52" t="s">
        <v>50</v>
      </c>
      <c r="C159" s="52" t="s">
        <v>51</v>
      </c>
      <c r="D159" s="52" t="s">
        <v>348</v>
      </c>
      <c r="E159" s="53">
        <v>483.17</v>
      </c>
      <c r="F159" s="54" t="s">
        <v>217</v>
      </c>
      <c r="G159" s="52" t="s">
        <v>2</v>
      </c>
      <c r="H159" s="74" t="s">
        <v>263</v>
      </c>
      <c r="I159" s="13">
        <v>6</v>
      </c>
      <c r="J159" s="31" t="s">
        <v>441</v>
      </c>
      <c r="K159" s="67" t="s">
        <v>453</v>
      </c>
      <c r="L159" s="55">
        <v>46154</v>
      </c>
      <c r="M159" s="68" t="s">
        <v>223</v>
      </c>
    </row>
    <row r="160" spans="1:13" x14ac:dyDescent="0.35">
      <c r="A160" s="65" t="s">
        <v>232</v>
      </c>
      <c r="B160" s="52" t="s">
        <v>7</v>
      </c>
      <c r="C160" s="52" t="s">
        <v>72</v>
      </c>
      <c r="D160" s="52" t="s">
        <v>408</v>
      </c>
      <c r="E160" s="53">
        <v>47.3</v>
      </c>
      <c r="F160" s="54" t="s">
        <v>217</v>
      </c>
      <c r="G160" s="52" t="s">
        <v>157</v>
      </c>
      <c r="H160" s="74"/>
      <c r="I160" s="13"/>
      <c r="J160" s="66"/>
      <c r="K160" s="67"/>
      <c r="L160" s="55">
        <v>46155</v>
      </c>
      <c r="M160" s="68" t="s">
        <v>175</v>
      </c>
    </row>
    <row r="161" spans="1:13" x14ac:dyDescent="0.35">
      <c r="A161" s="65" t="s">
        <v>232</v>
      </c>
      <c r="B161" s="52" t="s">
        <v>34</v>
      </c>
      <c r="C161" s="52" t="s">
        <v>191</v>
      </c>
      <c r="D161" s="52" t="s">
        <v>415</v>
      </c>
      <c r="E161" s="53">
        <v>89.9</v>
      </c>
      <c r="F161" s="54" t="s">
        <v>217</v>
      </c>
      <c r="G161" s="52" t="s">
        <v>2</v>
      </c>
      <c r="H161" s="74" t="s">
        <v>261</v>
      </c>
      <c r="I161" s="13"/>
      <c r="J161" s="66"/>
      <c r="K161" s="67"/>
      <c r="L161" s="55">
        <v>46156</v>
      </c>
      <c r="M161" s="68" t="s">
        <v>223</v>
      </c>
    </row>
    <row r="162" spans="1:13" x14ac:dyDescent="0.35">
      <c r="A162" s="65" t="s">
        <v>260</v>
      </c>
      <c r="B162" s="52" t="s">
        <v>50</v>
      </c>
      <c r="C162" s="52" t="s">
        <v>173</v>
      </c>
      <c r="D162" s="52" t="s">
        <v>411</v>
      </c>
      <c r="E162" s="53">
        <v>85</v>
      </c>
      <c r="F162" s="54" t="s">
        <v>217</v>
      </c>
      <c r="G162" s="52" t="s">
        <v>2</v>
      </c>
      <c r="H162" s="74" t="s">
        <v>262</v>
      </c>
      <c r="I162" s="13">
        <v>3</v>
      </c>
      <c r="J162" s="31" t="s">
        <v>432</v>
      </c>
      <c r="K162" s="67" t="s">
        <v>459</v>
      </c>
      <c r="L162" s="55">
        <v>46158</v>
      </c>
      <c r="M162" s="68" t="s">
        <v>223</v>
      </c>
    </row>
    <row r="163" spans="1:13" x14ac:dyDescent="0.35">
      <c r="A163" s="65" t="s">
        <v>232</v>
      </c>
      <c r="B163" s="52" t="s">
        <v>50</v>
      </c>
      <c r="C163" s="52" t="s">
        <v>220</v>
      </c>
      <c r="D163" s="52" t="s">
        <v>410</v>
      </c>
      <c r="E163" s="53">
        <v>142.5</v>
      </c>
      <c r="F163" s="54" t="s">
        <v>217</v>
      </c>
      <c r="G163" s="52" t="s">
        <v>2</v>
      </c>
      <c r="H163" s="74" t="s">
        <v>261</v>
      </c>
      <c r="I163" s="13"/>
      <c r="J163" s="66"/>
      <c r="K163" s="67"/>
      <c r="L163" s="55">
        <v>46159</v>
      </c>
      <c r="M163" s="68" t="s">
        <v>223</v>
      </c>
    </row>
    <row r="164" spans="1:13" x14ac:dyDescent="0.35">
      <c r="A164" s="65" t="s">
        <v>232</v>
      </c>
      <c r="B164" s="52" t="s">
        <v>197</v>
      </c>
      <c r="C164" s="52" t="s">
        <v>180</v>
      </c>
      <c r="D164" s="52" t="s">
        <v>414</v>
      </c>
      <c r="E164" s="53">
        <v>118</v>
      </c>
      <c r="F164" s="54" t="s">
        <v>217</v>
      </c>
      <c r="G164" s="52" t="s">
        <v>2</v>
      </c>
      <c r="H164" s="74" t="s">
        <v>261</v>
      </c>
      <c r="I164" s="13"/>
      <c r="J164" s="66"/>
      <c r="K164" s="67"/>
      <c r="L164" s="55">
        <v>46160</v>
      </c>
      <c r="M164" s="68" t="s">
        <v>223</v>
      </c>
    </row>
    <row r="165" spans="1:13" x14ac:dyDescent="0.35">
      <c r="A165" s="65" t="s">
        <v>209</v>
      </c>
      <c r="B165" s="52" t="s">
        <v>50</v>
      </c>
      <c r="C165" s="52" t="s">
        <v>219</v>
      </c>
      <c r="D165" s="52" t="s">
        <v>412</v>
      </c>
      <c r="E165" s="53">
        <v>68.5</v>
      </c>
      <c r="F165" s="54" t="s">
        <v>217</v>
      </c>
      <c r="G165" s="52" t="s">
        <v>2</v>
      </c>
      <c r="H165" s="74" t="s">
        <v>263</v>
      </c>
      <c r="I165" s="13"/>
      <c r="J165" s="66"/>
      <c r="K165" s="67"/>
      <c r="L165" s="55">
        <v>46161</v>
      </c>
      <c r="M165" s="68" t="s">
        <v>223</v>
      </c>
    </row>
    <row r="166" spans="1:13" x14ac:dyDescent="0.35">
      <c r="A166" s="65" t="s">
        <v>260</v>
      </c>
      <c r="B166" s="52" t="s">
        <v>50</v>
      </c>
      <c r="C166" s="52" t="s">
        <v>173</v>
      </c>
      <c r="D166" s="52" t="s">
        <v>385</v>
      </c>
      <c r="E166" s="53">
        <v>78</v>
      </c>
      <c r="F166" s="54" t="s">
        <v>217</v>
      </c>
      <c r="G166" s="52" t="s">
        <v>2</v>
      </c>
      <c r="H166" s="74" t="s">
        <v>262</v>
      </c>
      <c r="I166" s="13">
        <v>3</v>
      </c>
      <c r="J166" s="31" t="s">
        <v>434</v>
      </c>
      <c r="K166" s="67" t="s">
        <v>456</v>
      </c>
      <c r="L166" s="55">
        <v>46161</v>
      </c>
      <c r="M166" s="68" t="s">
        <v>223</v>
      </c>
    </row>
    <row r="167" spans="1:13" x14ac:dyDescent="0.35">
      <c r="A167" s="65" t="s">
        <v>209</v>
      </c>
      <c r="B167" s="52" t="s">
        <v>63</v>
      </c>
      <c r="C167" s="52" t="s">
        <v>231</v>
      </c>
      <c r="D167" s="52" t="s">
        <v>287</v>
      </c>
      <c r="E167" s="53">
        <v>70</v>
      </c>
      <c r="F167" s="54" t="s">
        <v>217</v>
      </c>
      <c r="G167" s="52" t="s">
        <v>156</v>
      </c>
      <c r="H167" s="74"/>
      <c r="I167" s="13"/>
      <c r="J167" s="66"/>
      <c r="K167" s="67"/>
      <c r="L167" s="55">
        <v>46162</v>
      </c>
      <c r="M167" s="68" t="s">
        <v>208</v>
      </c>
    </row>
    <row r="168" spans="1:13" x14ac:dyDescent="0.35">
      <c r="A168" s="65" t="s">
        <v>210</v>
      </c>
      <c r="B168" s="52" t="s">
        <v>50</v>
      </c>
      <c r="C168" s="52" t="s">
        <v>51</v>
      </c>
      <c r="D168" s="52" t="s">
        <v>413</v>
      </c>
      <c r="E168" s="53">
        <v>149.75</v>
      </c>
      <c r="F168" s="54" t="s">
        <v>217</v>
      </c>
      <c r="G168" s="52" t="s">
        <v>2</v>
      </c>
      <c r="H168" s="74" t="s">
        <v>263</v>
      </c>
      <c r="I168" s="13">
        <v>4</v>
      </c>
      <c r="J168" s="31" t="s">
        <v>428</v>
      </c>
      <c r="K168" s="67" t="s">
        <v>460</v>
      </c>
      <c r="L168" s="55">
        <v>46162</v>
      </c>
      <c r="M168" s="68" t="s">
        <v>223</v>
      </c>
    </row>
    <row r="169" spans="1:13" x14ac:dyDescent="0.35">
      <c r="A169" s="65" t="s">
        <v>210</v>
      </c>
      <c r="B169" s="52" t="s">
        <v>43</v>
      </c>
      <c r="C169" s="52" t="s">
        <v>135</v>
      </c>
      <c r="D169" s="52" t="s">
        <v>416</v>
      </c>
      <c r="E169" s="53">
        <v>290</v>
      </c>
      <c r="F169" s="54" t="s">
        <v>217</v>
      </c>
      <c r="G169" s="52" t="s">
        <v>2</v>
      </c>
      <c r="H169" s="74" t="s">
        <v>263</v>
      </c>
      <c r="I169" s="13"/>
      <c r="J169" s="66"/>
      <c r="K169" s="67"/>
      <c r="L169" s="55">
        <v>46164</v>
      </c>
      <c r="M169" s="68" t="s">
        <v>208</v>
      </c>
    </row>
    <row r="170" spans="1:13" x14ac:dyDescent="0.35">
      <c r="A170" s="65" t="s">
        <v>210</v>
      </c>
      <c r="B170" s="52" t="s">
        <v>50</v>
      </c>
      <c r="C170" s="52" t="s">
        <v>51</v>
      </c>
      <c r="D170" s="52" t="s">
        <v>386</v>
      </c>
      <c r="E170" s="53">
        <v>95.67</v>
      </c>
      <c r="F170" s="54" t="s">
        <v>217</v>
      </c>
      <c r="G170" s="52" t="s">
        <v>2</v>
      </c>
      <c r="H170" s="74" t="s">
        <v>263</v>
      </c>
      <c r="I170" s="13">
        <v>3</v>
      </c>
      <c r="J170" s="31" t="s">
        <v>434</v>
      </c>
      <c r="K170" s="67" t="s">
        <v>457</v>
      </c>
      <c r="L170" s="55">
        <v>46164</v>
      </c>
      <c r="M170" s="68" t="s">
        <v>223</v>
      </c>
    </row>
    <row r="171" spans="1:13" x14ac:dyDescent="0.35">
      <c r="A171" s="65" t="s">
        <v>210</v>
      </c>
      <c r="B171" s="52" t="s">
        <v>50</v>
      </c>
      <c r="C171" s="52" t="s">
        <v>51</v>
      </c>
      <c r="D171" s="52" t="s">
        <v>397</v>
      </c>
      <c r="E171" s="53">
        <v>216.5</v>
      </c>
      <c r="F171" s="54" t="s">
        <v>217</v>
      </c>
      <c r="G171" s="52" t="s">
        <v>2</v>
      </c>
      <c r="H171" s="74" t="s">
        <v>263</v>
      </c>
      <c r="I171" s="13">
        <v>6</v>
      </c>
      <c r="J171" s="31" t="s">
        <v>437</v>
      </c>
      <c r="K171" s="80" t="s">
        <v>458</v>
      </c>
      <c r="L171" s="55">
        <v>46165</v>
      </c>
      <c r="M171" s="68" t="s">
        <v>223</v>
      </c>
    </row>
    <row r="172" spans="1:13" x14ac:dyDescent="0.35">
      <c r="A172" s="65" t="s">
        <v>232</v>
      </c>
      <c r="B172" s="52" t="s">
        <v>63</v>
      </c>
      <c r="C172" s="52" t="s">
        <v>190</v>
      </c>
      <c r="D172" s="52" t="s">
        <v>417</v>
      </c>
      <c r="E172" s="53">
        <v>80</v>
      </c>
      <c r="F172" s="54" t="s">
        <v>217</v>
      </c>
      <c r="G172" s="52" t="s">
        <v>4</v>
      </c>
      <c r="H172" s="74"/>
      <c r="I172" s="13"/>
      <c r="J172" s="66"/>
      <c r="K172" s="67"/>
      <c r="L172" s="55">
        <v>46167</v>
      </c>
      <c r="M172" s="68" t="s">
        <v>208</v>
      </c>
    </row>
  </sheetData>
  <mergeCells count="1">
    <mergeCell ref="A1:M1"/>
  </mergeCells>
  <phoneticPr fontId="2" type="noConversion"/>
  <conditionalFormatting sqref="H3:H172">
    <cfRule type="expression" dxfId="144" priority="196">
      <formula>$G3&lt;&gt;"CARTAO CREDITO"</formula>
    </cfRule>
  </conditionalFormatting>
  <conditionalFormatting sqref="J3:K172">
    <cfRule type="expression" dxfId="143" priority="195">
      <formula>J3=""</formula>
    </cfRule>
  </conditionalFormatting>
  <conditionalFormatting sqref="M3:M172">
    <cfRule type="containsText" dxfId="142" priority="1" operator="containsText" text="REEMBOLSO">
      <formula>NOT(ISERROR(SEARCH("REEMBOLSO",M3)))</formula>
    </cfRule>
    <cfRule type="containsText" dxfId="141" priority="64" operator="containsText" text="PAGO">
      <formula>NOT(ISERROR(SEARCH("PAGO",M3)))</formula>
    </cfRule>
    <cfRule type="containsText" dxfId="140" priority="65" operator="containsText" text="PENDENTE">
      <formula>NOT(ISERROR(SEARCH("PENDENTE",M3)))</formula>
    </cfRule>
    <cfRule type="containsText" dxfId="139" priority="66" operator="containsText" text="EMITIDO">
      <formula>NOT(ISERROR(SEARCH("EMITIDO",M3)))</formula>
    </cfRule>
    <cfRule type="containsText" dxfId="138" priority="67" operator="containsText" text="ATRASADO">
      <formula>NOT(ISERROR(SEARCH("ATRASADO",M3)))</formula>
    </cfRule>
  </conditionalFormatting>
  <conditionalFormatting sqref="F3:F172">
    <cfRule type="containsText" dxfId="137" priority="2" operator="containsText" text="ENTRADA">
      <formula>NOT(ISERROR(SEARCH("ENTRADA",F3)))</formula>
    </cfRule>
    <cfRule type="containsText" dxfId="136" priority="3" operator="containsText" text="SAIDA">
      <formula>NOT(ISERROR(SEARCH("SAIDA",F3)))</formula>
    </cfRule>
    <cfRule type="containsText" dxfId="135" priority="4" operator="containsText" text="COBRANCA">
      <formula>NOT(ISERROR(SEARCH("COBRANCA",F3)))</formula>
    </cfRule>
  </conditionalFormatting>
  <conditionalFormatting sqref="B3:B172">
    <cfRule type="expression" dxfId="134" priority="197" stopIfTrue="1">
      <formula>B3="ALIMENTACAO"</formula>
    </cfRule>
    <cfRule type="expression" dxfId="133" priority="199" stopIfTrue="1">
      <formula>B3="ASSINATURA"</formula>
    </cfRule>
    <cfRule type="expression" dxfId="132" priority="201" stopIfTrue="1">
      <formula>B3="BELEZA_PESSOAL"</formula>
    </cfRule>
    <cfRule type="expression" dxfId="131" priority="203" stopIfTrue="1">
      <formula>B3="EDUCACAO"</formula>
    </cfRule>
    <cfRule type="expression" dxfId="130" priority="205" stopIfTrue="1">
      <formula>B3="FINANCEIRO"</formula>
    </cfRule>
    <cfRule type="expression" dxfId="129" priority="207" stopIfTrue="1">
      <formula>B3="LAZER"</formula>
    </cfRule>
    <cfRule type="expression" dxfId="128" priority="209" stopIfTrue="1">
      <formula>B3="MORADIA"</formula>
    </cfRule>
    <cfRule type="expression" dxfId="127" priority="211" stopIfTrue="1">
      <formula>B3="OUTROS"</formula>
    </cfRule>
    <cfRule type="expression" dxfId="126" priority="213" stopIfTrue="1">
      <formula>B3="PETS"</formula>
    </cfRule>
    <cfRule type="expression" dxfId="125" priority="215" stopIfTrue="1">
      <formula>B3="RECEITA"</formula>
    </cfRule>
    <cfRule type="expression" dxfId="124" priority="217" stopIfTrue="1">
      <formula>B3="SAUDE"</formula>
    </cfRule>
    <cfRule type="expression" dxfId="123" priority="219" stopIfTrue="1">
      <formula>B3="SHOPPING"</formula>
    </cfRule>
    <cfRule type="expression" dxfId="122" priority="221" stopIfTrue="1">
      <formula>B3="TRANSPORTE"</formula>
    </cfRule>
  </conditionalFormatting>
  <conditionalFormatting sqref="C3:C172">
    <cfRule type="expression" dxfId="121" priority="198" stopIfTrue="1">
      <formula>B3="ALIMENTACAO"</formula>
    </cfRule>
    <cfRule type="expression" dxfId="120" priority="200" stopIfTrue="1">
      <formula>B3="ASSINATURA"</formula>
    </cfRule>
    <cfRule type="expression" dxfId="119" priority="202" stopIfTrue="1">
      <formula>B3="BELEZA_PESSOAL"</formula>
    </cfRule>
    <cfRule type="expression" dxfId="118" priority="204" stopIfTrue="1">
      <formula>B3="EDUCACAO"</formula>
    </cfRule>
    <cfRule type="expression" dxfId="117" priority="206" stopIfTrue="1">
      <formula>B3="FINANCEIRO"</formula>
    </cfRule>
    <cfRule type="expression" dxfId="116" priority="208" stopIfTrue="1">
      <formula>B3="LAZER"</formula>
    </cfRule>
    <cfRule type="expression" dxfId="115" priority="210" stopIfTrue="1">
      <formula>B3="MORADIA"</formula>
    </cfRule>
    <cfRule type="expression" dxfId="114" priority="212" stopIfTrue="1">
      <formula>B3="OUTROS"</formula>
    </cfRule>
    <cfRule type="expression" dxfId="113" priority="214" stopIfTrue="1">
      <formula>B3="PETS"</formula>
    </cfRule>
    <cfRule type="expression" dxfId="112" priority="216" stopIfTrue="1">
      <formula>B3="RECEITA"</formula>
    </cfRule>
    <cfRule type="expression" dxfId="111" priority="218" stopIfTrue="1">
      <formula>B3="SAUDE"</formula>
    </cfRule>
    <cfRule type="expression" dxfId="110" priority="220" stopIfTrue="1">
      <formula>B3="SHOPPING"</formula>
    </cfRule>
    <cfRule type="expression" dxfId="109" priority="222" stopIfTrue="1">
      <formula>B3="TRANSPORTE"</formula>
    </cfRule>
  </conditionalFormatting>
  <dataValidations count="10">
    <dataValidation type="date" operator="greaterThanOrEqual" sqref="L3:L172" xr:uid="{D7E035EC-BAFE-4014-A81D-8C8FFEAAEDA4}">
      <formula1>1</formula1>
    </dataValidation>
    <dataValidation type="decimal" operator="greaterThanOrEqual" errorTitle="Valor Inválido" error="Veja as regras no comentário do cabeçalho desta coluna" sqref="E3:E172" xr:uid="{D1C64FFC-C402-4C57-8DAE-42E1CF2C3F84}">
      <formula1>0</formula1>
    </dataValidation>
    <dataValidation type="list" errorTitle="Valor Inválido" error="Veja as regras no comentário do cabeçalho desta coluna" sqref="B3:B172" xr:uid="{FC6DEDEC-D1E9-470B-8A0B-FE92AC272F4D}">
      <formula1>lista_categoria_lancamento</formula1>
    </dataValidation>
    <dataValidation type="list" errorTitle="Valor Inválido" error="Veja as regras no comentário do cabeçalho desta coluna" sqref="A3:A172" xr:uid="{5BE60E6B-C460-4CF5-B605-1F8EE04757F1}">
      <formula1>lista_responsavel</formula1>
    </dataValidation>
    <dataValidation type="list" errorTitle="Valor Inválido" error="Veja as regras no comentário do cabeçalho desta coluna" sqref="G3:G172" xr:uid="{CC895688-B0C1-4F47-90F4-1BD71DBBA27B}">
      <formula1>lista_metodos_pagamento</formula1>
    </dataValidation>
    <dataValidation type="list" allowBlank="1" errorTitle="Valor Inválido" error="Veja as regras no comentário do cabeçalho desta coluna" sqref="H3:H172" xr:uid="{CD936006-C337-4E2A-BE93-A3ED9738731D}">
      <formula1>lista_cartao_credito</formula1>
    </dataValidation>
    <dataValidation type="list" sqref="M3:M172" xr:uid="{6AF88057-9ABC-4EF7-8D95-6592DCBE79DA}">
      <formula1>lista_status_pagamento_lancamento</formula1>
    </dataValidation>
    <dataValidation allowBlank="1" sqref="J3:K172 D3:D172" xr:uid="{9D670943-F0F3-4762-BFEC-79AB1C028016}"/>
    <dataValidation type="whole" operator="greaterThan" allowBlank="1" sqref="I3:I172" xr:uid="{A727256A-8E02-40FB-9C6D-963E65800BCC}">
      <formula1>0</formula1>
    </dataValidation>
    <dataValidation type="list" showInputMessage="1" showErrorMessage="1" sqref="F3:F172" xr:uid="{63E9FFEF-7A9B-42F4-845A-CF3C494A96D0}">
      <formula1>lista_tipo_lancamento</formula1>
    </dataValidation>
  </dataValidations>
  <pageMargins left="0.75" right="0.75" top="1" bottom="1" header="0.5" footer="0.5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8D119839-86B7-469A-8E6B-869454A80BA7}">
          <x14:formula1>
            <xm:f>INDIRECT("AUX_Base_Opcoes!$"&amp;ADDRESS(2,MATCH(B3,AUX_Base_Opcoes!$1:$1,0),4)&amp;"#")</xm:f>
          </x14:formula1>
          <xm:sqref>C3:C172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34629-5DE3-43EA-9F09-4C911708E7E3}">
  <sheetPr codeName="Planilha10">
    <tabColor rgb="FF0070C0"/>
  </sheetPr>
  <dimension ref="A1:L124"/>
  <sheetViews>
    <sheetView showGridLines="0" zoomScale="85" zoomScaleNormal="85" workbookViewId="0">
      <pane ySplit="2" topLeftCell="A54" activePane="bottomLeft" state="frozen"/>
      <selection pane="bottomLeft" activeCell="A3" sqref="A3:K124"/>
    </sheetView>
  </sheetViews>
  <sheetFormatPr defaultRowHeight="14.5" x14ac:dyDescent="0.35"/>
  <cols>
    <col min="1" max="1" width="17.36328125" style="2" customWidth="1"/>
    <col min="2" max="2" width="24.08984375" style="2" customWidth="1"/>
    <col min="3" max="3" width="25.7265625" style="2" customWidth="1"/>
    <col min="4" max="4" width="33" style="2" bestFit="1" customWidth="1"/>
    <col min="5" max="5" width="11.6328125" style="1" customWidth="1"/>
    <col min="6" max="6" width="14.7265625" style="2" customWidth="1"/>
    <col min="7" max="7" width="24.453125" style="11" bestFit="1" customWidth="1"/>
    <col min="8" max="8" width="15.453125" style="79" customWidth="1"/>
    <col min="9" max="9" width="15.6328125" style="12" customWidth="1"/>
    <col min="10" max="10" width="17.1796875" style="7" customWidth="1"/>
    <col min="11" max="11" width="14" style="2" bestFit="1" customWidth="1"/>
    <col min="12" max="12" width="13.1796875" customWidth="1"/>
  </cols>
  <sheetData>
    <row r="1" spans="1:12" x14ac:dyDescent="0.35">
      <c r="A1" s="81" t="s">
        <v>211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9"/>
    </row>
    <row r="2" spans="1:12" x14ac:dyDescent="0.35">
      <c r="A2" s="20" t="s">
        <v>0</v>
      </c>
      <c r="B2" s="20" t="s">
        <v>57</v>
      </c>
      <c r="C2" s="20" t="s">
        <v>58</v>
      </c>
      <c r="D2" s="20" t="s">
        <v>59</v>
      </c>
      <c r="E2" s="20" t="s">
        <v>167</v>
      </c>
      <c r="F2" s="20" t="s">
        <v>226</v>
      </c>
      <c r="G2" s="20" t="s">
        <v>1</v>
      </c>
      <c r="H2" s="77" t="s">
        <v>235</v>
      </c>
      <c r="I2" s="20" t="s">
        <v>243</v>
      </c>
      <c r="J2" s="20" t="s">
        <v>174</v>
      </c>
      <c r="K2" s="20" t="s">
        <v>198</v>
      </c>
    </row>
    <row r="3" spans="1:12" x14ac:dyDescent="0.35">
      <c r="A3" s="59" t="s">
        <v>232</v>
      </c>
      <c r="B3" s="59" t="s">
        <v>176</v>
      </c>
      <c r="C3" s="59" t="s">
        <v>20</v>
      </c>
      <c r="D3" s="59" t="s">
        <v>269</v>
      </c>
      <c r="E3" s="60">
        <v>99.9</v>
      </c>
      <c r="F3" s="61" t="s">
        <v>217</v>
      </c>
      <c r="G3" s="62" t="s">
        <v>156</v>
      </c>
      <c r="H3" s="78"/>
      <c r="I3" s="63" t="s">
        <v>246</v>
      </c>
      <c r="J3" s="64">
        <v>45871</v>
      </c>
      <c r="K3" s="61" t="s">
        <v>175</v>
      </c>
    </row>
    <row r="4" spans="1:12" x14ac:dyDescent="0.35">
      <c r="A4" s="59" t="s">
        <v>232</v>
      </c>
      <c r="B4" s="59" t="s">
        <v>176</v>
      </c>
      <c r="C4" s="59" t="s">
        <v>13</v>
      </c>
      <c r="D4" s="59" t="s">
        <v>264</v>
      </c>
      <c r="E4" s="60">
        <v>55.9</v>
      </c>
      <c r="F4" s="61" t="s">
        <v>217</v>
      </c>
      <c r="G4" s="62" t="s">
        <v>2</v>
      </c>
      <c r="H4" s="78" t="s">
        <v>261</v>
      </c>
      <c r="I4" s="63" t="s">
        <v>246</v>
      </c>
      <c r="J4" s="64">
        <v>45874</v>
      </c>
      <c r="K4" s="61" t="s">
        <v>227</v>
      </c>
    </row>
    <row r="5" spans="1:12" x14ac:dyDescent="0.35">
      <c r="A5" s="59" t="s">
        <v>232</v>
      </c>
      <c r="B5" s="59" t="s">
        <v>176</v>
      </c>
      <c r="C5" s="59" t="s">
        <v>14</v>
      </c>
      <c r="D5" s="59" t="s">
        <v>265</v>
      </c>
      <c r="E5" s="60">
        <v>21.9</v>
      </c>
      <c r="F5" s="61" t="s">
        <v>217</v>
      </c>
      <c r="G5" s="62" t="s">
        <v>2</v>
      </c>
      <c r="H5" s="78" t="s">
        <v>261</v>
      </c>
      <c r="I5" s="63" t="s">
        <v>246</v>
      </c>
      <c r="J5" s="64">
        <v>45874</v>
      </c>
      <c r="K5" s="61" t="s">
        <v>175</v>
      </c>
    </row>
    <row r="6" spans="1:12" x14ac:dyDescent="0.35">
      <c r="A6" s="59" t="s">
        <v>209</v>
      </c>
      <c r="B6" s="59" t="s">
        <v>21</v>
      </c>
      <c r="C6" s="59" t="s">
        <v>22</v>
      </c>
      <c r="D6" s="59" t="s">
        <v>274</v>
      </c>
      <c r="E6" s="60">
        <v>890</v>
      </c>
      <c r="F6" s="61" t="s">
        <v>217</v>
      </c>
      <c r="G6" s="62" t="s">
        <v>2</v>
      </c>
      <c r="H6" s="78" t="s">
        <v>262</v>
      </c>
      <c r="I6" s="63" t="s">
        <v>246</v>
      </c>
      <c r="J6" s="64">
        <v>45874</v>
      </c>
      <c r="K6" s="61" t="s">
        <v>175</v>
      </c>
    </row>
    <row r="7" spans="1:12" x14ac:dyDescent="0.35">
      <c r="A7" s="59" t="s">
        <v>232</v>
      </c>
      <c r="B7" s="59" t="s">
        <v>36</v>
      </c>
      <c r="C7" s="59" t="s">
        <v>195</v>
      </c>
      <c r="D7" s="59" t="s">
        <v>275</v>
      </c>
      <c r="E7" s="60">
        <v>6000</v>
      </c>
      <c r="F7" s="61" t="s">
        <v>218</v>
      </c>
      <c r="G7" s="62" t="s">
        <v>6</v>
      </c>
      <c r="H7" s="78"/>
      <c r="I7" s="63" t="s">
        <v>246</v>
      </c>
      <c r="J7" s="64">
        <v>45874</v>
      </c>
      <c r="K7" s="61" t="s">
        <v>223</v>
      </c>
    </row>
    <row r="8" spans="1:12" x14ac:dyDescent="0.35">
      <c r="A8" s="59" t="s">
        <v>210</v>
      </c>
      <c r="B8" s="59" t="s">
        <v>176</v>
      </c>
      <c r="C8" s="59" t="s">
        <v>75</v>
      </c>
      <c r="D8" s="59" t="s">
        <v>266</v>
      </c>
      <c r="E8" s="60">
        <v>19.899999999999999</v>
      </c>
      <c r="F8" s="61" t="s">
        <v>217</v>
      </c>
      <c r="G8" s="62" t="s">
        <v>2</v>
      </c>
      <c r="H8" s="78" t="s">
        <v>261</v>
      </c>
      <c r="I8" s="63" t="s">
        <v>246</v>
      </c>
      <c r="J8" s="64">
        <v>45876</v>
      </c>
      <c r="K8" s="61" t="s">
        <v>175</v>
      </c>
    </row>
    <row r="9" spans="1:12" x14ac:dyDescent="0.35">
      <c r="A9" s="59" t="s">
        <v>232</v>
      </c>
      <c r="B9" s="59" t="s">
        <v>176</v>
      </c>
      <c r="C9" s="59" t="s">
        <v>85</v>
      </c>
      <c r="D9" s="59" t="s">
        <v>270</v>
      </c>
      <c r="E9" s="60">
        <v>79.900000000000006</v>
      </c>
      <c r="F9" s="61" t="s">
        <v>217</v>
      </c>
      <c r="G9" s="62" t="s">
        <v>156</v>
      </c>
      <c r="H9" s="78"/>
      <c r="I9" s="63" t="s">
        <v>246</v>
      </c>
      <c r="J9" s="64">
        <v>45876</v>
      </c>
      <c r="K9" s="61" t="s">
        <v>175</v>
      </c>
    </row>
    <row r="10" spans="1:12" x14ac:dyDescent="0.35">
      <c r="A10" s="59" t="s">
        <v>210</v>
      </c>
      <c r="B10" s="59" t="s">
        <v>176</v>
      </c>
      <c r="C10" s="59" t="s">
        <v>158</v>
      </c>
      <c r="D10" s="59" t="s">
        <v>267</v>
      </c>
      <c r="E10" s="60">
        <v>109</v>
      </c>
      <c r="F10" s="61" t="s">
        <v>217</v>
      </c>
      <c r="G10" s="62" t="s">
        <v>2</v>
      </c>
      <c r="H10" s="78" t="s">
        <v>263</v>
      </c>
      <c r="I10" s="63" t="s">
        <v>246</v>
      </c>
      <c r="J10" s="64">
        <v>45879</v>
      </c>
      <c r="K10" s="61" t="s">
        <v>175</v>
      </c>
    </row>
    <row r="11" spans="1:12" x14ac:dyDescent="0.35">
      <c r="A11" s="59" t="s">
        <v>209</v>
      </c>
      <c r="B11" s="59" t="s">
        <v>176</v>
      </c>
      <c r="C11" s="59" t="s">
        <v>159</v>
      </c>
      <c r="D11" s="59" t="s">
        <v>268</v>
      </c>
      <c r="E11" s="60">
        <v>99</v>
      </c>
      <c r="F11" s="61" t="s">
        <v>217</v>
      </c>
      <c r="G11" s="62" t="s">
        <v>2</v>
      </c>
      <c r="H11" s="78" t="s">
        <v>263</v>
      </c>
      <c r="I11" s="63" t="s">
        <v>246</v>
      </c>
      <c r="J11" s="64">
        <v>45879</v>
      </c>
      <c r="K11" s="61" t="s">
        <v>175</v>
      </c>
    </row>
    <row r="12" spans="1:12" x14ac:dyDescent="0.35">
      <c r="A12" s="59" t="s">
        <v>232</v>
      </c>
      <c r="B12" s="59" t="s">
        <v>29</v>
      </c>
      <c r="C12" s="59" t="s">
        <v>31</v>
      </c>
      <c r="D12" s="59" t="s">
        <v>272</v>
      </c>
      <c r="E12" s="60">
        <v>650</v>
      </c>
      <c r="F12" s="61" t="s">
        <v>217</v>
      </c>
      <c r="G12" s="62" t="s">
        <v>6</v>
      </c>
      <c r="H12" s="78"/>
      <c r="I12" s="63" t="s">
        <v>246</v>
      </c>
      <c r="J12" s="64">
        <v>45879</v>
      </c>
      <c r="K12" s="61" t="s">
        <v>175</v>
      </c>
    </row>
    <row r="13" spans="1:12" x14ac:dyDescent="0.35">
      <c r="A13" s="59" t="s">
        <v>260</v>
      </c>
      <c r="B13" s="59" t="s">
        <v>176</v>
      </c>
      <c r="C13" s="59" t="s">
        <v>16</v>
      </c>
      <c r="D13" s="59" t="s">
        <v>271</v>
      </c>
      <c r="E13" s="60">
        <v>27.9</v>
      </c>
      <c r="F13" s="61" t="s">
        <v>217</v>
      </c>
      <c r="G13" s="62" t="s">
        <v>2</v>
      </c>
      <c r="H13" s="78" t="s">
        <v>262</v>
      </c>
      <c r="I13" s="63" t="s">
        <v>246</v>
      </c>
      <c r="J13" s="64">
        <v>45884</v>
      </c>
      <c r="K13" s="61" t="s">
        <v>175</v>
      </c>
    </row>
    <row r="14" spans="1:12" x14ac:dyDescent="0.35">
      <c r="A14" s="59" t="s">
        <v>232</v>
      </c>
      <c r="B14" s="59" t="s">
        <v>29</v>
      </c>
      <c r="C14" s="59" t="s">
        <v>189</v>
      </c>
      <c r="D14" s="59" t="s">
        <v>273</v>
      </c>
      <c r="E14" s="60">
        <v>89.9</v>
      </c>
      <c r="F14" s="61" t="s">
        <v>217</v>
      </c>
      <c r="G14" s="62" t="s">
        <v>156</v>
      </c>
      <c r="H14" s="78"/>
      <c r="I14" s="63" t="s">
        <v>246</v>
      </c>
      <c r="J14" s="64">
        <v>45889</v>
      </c>
      <c r="K14" s="61" t="s">
        <v>175</v>
      </c>
    </row>
    <row r="15" spans="1:12" x14ac:dyDescent="0.35">
      <c r="A15" s="59" t="s">
        <v>232</v>
      </c>
      <c r="B15" s="59" t="s">
        <v>176</v>
      </c>
      <c r="C15" s="59" t="s">
        <v>20</v>
      </c>
      <c r="D15" s="59" t="s">
        <v>269</v>
      </c>
      <c r="E15" s="60">
        <v>99.9</v>
      </c>
      <c r="F15" s="61" t="s">
        <v>217</v>
      </c>
      <c r="G15" s="62" t="s">
        <v>156</v>
      </c>
      <c r="H15" s="78"/>
      <c r="I15" s="63" t="s">
        <v>246</v>
      </c>
      <c r="J15" s="64">
        <v>45902</v>
      </c>
      <c r="K15" s="61" t="s">
        <v>175</v>
      </c>
    </row>
    <row r="16" spans="1:12" x14ac:dyDescent="0.35">
      <c r="A16" s="59" t="s">
        <v>232</v>
      </c>
      <c r="B16" s="59" t="s">
        <v>176</v>
      </c>
      <c r="C16" s="59" t="s">
        <v>13</v>
      </c>
      <c r="D16" s="59" t="s">
        <v>264</v>
      </c>
      <c r="E16" s="60">
        <v>55.9</v>
      </c>
      <c r="F16" s="61" t="s">
        <v>217</v>
      </c>
      <c r="G16" s="62" t="s">
        <v>2</v>
      </c>
      <c r="H16" s="78" t="s">
        <v>261</v>
      </c>
      <c r="I16" s="63" t="s">
        <v>246</v>
      </c>
      <c r="J16" s="64">
        <v>45905</v>
      </c>
      <c r="K16" s="61" t="s">
        <v>227</v>
      </c>
    </row>
    <row r="17" spans="1:11" x14ac:dyDescent="0.35">
      <c r="A17" s="59" t="s">
        <v>232</v>
      </c>
      <c r="B17" s="59" t="s">
        <v>176</v>
      </c>
      <c r="C17" s="59" t="s">
        <v>14</v>
      </c>
      <c r="D17" s="59" t="s">
        <v>265</v>
      </c>
      <c r="E17" s="60">
        <v>21.9</v>
      </c>
      <c r="F17" s="61" t="s">
        <v>217</v>
      </c>
      <c r="G17" s="62" t="s">
        <v>2</v>
      </c>
      <c r="H17" s="78" t="s">
        <v>261</v>
      </c>
      <c r="I17" s="63" t="s">
        <v>246</v>
      </c>
      <c r="J17" s="64">
        <v>45905</v>
      </c>
      <c r="K17" s="61" t="s">
        <v>175</v>
      </c>
    </row>
    <row r="18" spans="1:11" x14ac:dyDescent="0.35">
      <c r="A18" s="59" t="s">
        <v>209</v>
      </c>
      <c r="B18" s="59" t="s">
        <v>21</v>
      </c>
      <c r="C18" s="59" t="s">
        <v>22</v>
      </c>
      <c r="D18" s="59" t="s">
        <v>274</v>
      </c>
      <c r="E18" s="60">
        <v>890</v>
      </c>
      <c r="F18" s="61" t="s">
        <v>217</v>
      </c>
      <c r="G18" s="62" t="s">
        <v>2</v>
      </c>
      <c r="H18" s="78" t="s">
        <v>262</v>
      </c>
      <c r="I18" s="63" t="s">
        <v>246</v>
      </c>
      <c r="J18" s="64">
        <v>45905</v>
      </c>
      <c r="K18" s="61" t="s">
        <v>175</v>
      </c>
    </row>
    <row r="19" spans="1:11" x14ac:dyDescent="0.35">
      <c r="A19" s="59" t="s">
        <v>232</v>
      </c>
      <c r="B19" s="59" t="s">
        <v>36</v>
      </c>
      <c r="C19" s="59" t="s">
        <v>195</v>
      </c>
      <c r="D19" s="59" t="s">
        <v>275</v>
      </c>
      <c r="E19" s="60">
        <v>6000</v>
      </c>
      <c r="F19" s="61" t="s">
        <v>218</v>
      </c>
      <c r="G19" s="62" t="s">
        <v>6</v>
      </c>
      <c r="H19" s="78"/>
      <c r="I19" s="63" t="s">
        <v>246</v>
      </c>
      <c r="J19" s="64">
        <v>45905</v>
      </c>
      <c r="K19" s="61" t="s">
        <v>223</v>
      </c>
    </row>
    <row r="20" spans="1:11" x14ac:dyDescent="0.35">
      <c r="A20" s="59" t="s">
        <v>210</v>
      </c>
      <c r="B20" s="59" t="s">
        <v>176</v>
      </c>
      <c r="C20" s="59" t="s">
        <v>75</v>
      </c>
      <c r="D20" s="59" t="s">
        <v>266</v>
      </c>
      <c r="E20" s="60">
        <v>19.899999999999999</v>
      </c>
      <c r="F20" s="61" t="s">
        <v>217</v>
      </c>
      <c r="G20" s="62" t="s">
        <v>2</v>
      </c>
      <c r="H20" s="78" t="s">
        <v>261</v>
      </c>
      <c r="I20" s="63" t="s">
        <v>246</v>
      </c>
      <c r="J20" s="64">
        <v>45907</v>
      </c>
      <c r="K20" s="61" t="s">
        <v>175</v>
      </c>
    </row>
    <row r="21" spans="1:11" x14ac:dyDescent="0.35">
      <c r="A21" s="59" t="s">
        <v>232</v>
      </c>
      <c r="B21" s="59" t="s">
        <v>176</v>
      </c>
      <c r="C21" s="59" t="s">
        <v>85</v>
      </c>
      <c r="D21" s="59" t="s">
        <v>270</v>
      </c>
      <c r="E21" s="60">
        <v>79.900000000000006</v>
      </c>
      <c r="F21" s="61" t="s">
        <v>217</v>
      </c>
      <c r="G21" s="62" t="s">
        <v>156</v>
      </c>
      <c r="H21" s="78"/>
      <c r="I21" s="63" t="s">
        <v>246</v>
      </c>
      <c r="J21" s="64">
        <v>45907</v>
      </c>
      <c r="K21" s="61" t="s">
        <v>175</v>
      </c>
    </row>
    <row r="22" spans="1:11" x14ac:dyDescent="0.35">
      <c r="A22" s="59" t="s">
        <v>210</v>
      </c>
      <c r="B22" s="59" t="s">
        <v>176</v>
      </c>
      <c r="C22" s="59" t="s">
        <v>158</v>
      </c>
      <c r="D22" s="59" t="s">
        <v>267</v>
      </c>
      <c r="E22" s="60">
        <v>109</v>
      </c>
      <c r="F22" s="61" t="s">
        <v>217</v>
      </c>
      <c r="G22" s="62" t="s">
        <v>2</v>
      </c>
      <c r="H22" s="78" t="s">
        <v>263</v>
      </c>
      <c r="I22" s="63" t="s">
        <v>246</v>
      </c>
      <c r="J22" s="64">
        <v>45910</v>
      </c>
      <c r="K22" s="61" t="s">
        <v>175</v>
      </c>
    </row>
    <row r="23" spans="1:11" x14ac:dyDescent="0.35">
      <c r="A23" s="59" t="s">
        <v>209</v>
      </c>
      <c r="B23" s="59" t="s">
        <v>176</v>
      </c>
      <c r="C23" s="59" t="s">
        <v>159</v>
      </c>
      <c r="D23" s="59" t="s">
        <v>268</v>
      </c>
      <c r="E23" s="60">
        <v>99</v>
      </c>
      <c r="F23" s="61" t="s">
        <v>217</v>
      </c>
      <c r="G23" s="62" t="s">
        <v>2</v>
      </c>
      <c r="H23" s="78" t="s">
        <v>263</v>
      </c>
      <c r="I23" s="63" t="s">
        <v>246</v>
      </c>
      <c r="J23" s="64">
        <v>45910</v>
      </c>
      <c r="K23" s="61" t="s">
        <v>175</v>
      </c>
    </row>
    <row r="24" spans="1:11" x14ac:dyDescent="0.35">
      <c r="A24" s="59" t="s">
        <v>232</v>
      </c>
      <c r="B24" s="59" t="s">
        <v>29</v>
      </c>
      <c r="C24" s="59" t="s">
        <v>31</v>
      </c>
      <c r="D24" s="59" t="s">
        <v>272</v>
      </c>
      <c r="E24" s="60">
        <v>650</v>
      </c>
      <c r="F24" s="61" t="s">
        <v>217</v>
      </c>
      <c r="G24" s="62" t="s">
        <v>6</v>
      </c>
      <c r="H24" s="78"/>
      <c r="I24" s="63" t="s">
        <v>246</v>
      </c>
      <c r="J24" s="64">
        <v>45910</v>
      </c>
      <c r="K24" s="61" t="s">
        <v>175</v>
      </c>
    </row>
    <row r="25" spans="1:11" x14ac:dyDescent="0.35">
      <c r="A25" s="59" t="s">
        <v>260</v>
      </c>
      <c r="B25" s="59" t="s">
        <v>176</v>
      </c>
      <c r="C25" s="59" t="s">
        <v>16</v>
      </c>
      <c r="D25" s="59" t="s">
        <v>271</v>
      </c>
      <c r="E25" s="60">
        <v>27.9</v>
      </c>
      <c r="F25" s="61" t="s">
        <v>217</v>
      </c>
      <c r="G25" s="62" t="s">
        <v>2</v>
      </c>
      <c r="H25" s="78" t="s">
        <v>262</v>
      </c>
      <c r="I25" s="63" t="s">
        <v>246</v>
      </c>
      <c r="J25" s="64">
        <v>45915</v>
      </c>
      <c r="K25" s="61" t="s">
        <v>175</v>
      </c>
    </row>
    <row r="26" spans="1:11" x14ac:dyDescent="0.35">
      <c r="A26" s="59" t="s">
        <v>260</v>
      </c>
      <c r="B26" s="59" t="s">
        <v>36</v>
      </c>
      <c r="C26" s="59" t="s">
        <v>128</v>
      </c>
      <c r="D26" s="59" t="s">
        <v>276</v>
      </c>
      <c r="E26" s="60">
        <v>27.9</v>
      </c>
      <c r="F26" s="61" t="s">
        <v>218</v>
      </c>
      <c r="G26" s="62" t="s">
        <v>4</v>
      </c>
      <c r="H26" s="78"/>
      <c r="I26" s="63" t="s">
        <v>246</v>
      </c>
      <c r="J26" s="64">
        <v>45916</v>
      </c>
      <c r="K26" s="61" t="s">
        <v>223</v>
      </c>
    </row>
    <row r="27" spans="1:11" x14ac:dyDescent="0.35">
      <c r="A27" s="59" t="s">
        <v>232</v>
      </c>
      <c r="B27" s="59" t="s">
        <v>29</v>
      </c>
      <c r="C27" s="59" t="s">
        <v>189</v>
      </c>
      <c r="D27" s="59" t="s">
        <v>273</v>
      </c>
      <c r="E27" s="60">
        <v>89.9</v>
      </c>
      <c r="F27" s="61" t="s">
        <v>217</v>
      </c>
      <c r="G27" s="62" t="s">
        <v>156</v>
      </c>
      <c r="H27" s="78"/>
      <c r="I27" s="63" t="s">
        <v>246</v>
      </c>
      <c r="J27" s="64">
        <v>45920</v>
      </c>
      <c r="K27" s="61" t="s">
        <v>175</v>
      </c>
    </row>
    <row r="28" spans="1:11" x14ac:dyDescent="0.35">
      <c r="A28" s="59" t="s">
        <v>232</v>
      </c>
      <c r="B28" s="59" t="s">
        <v>176</v>
      </c>
      <c r="C28" s="59" t="s">
        <v>20</v>
      </c>
      <c r="D28" s="59" t="s">
        <v>269</v>
      </c>
      <c r="E28" s="60">
        <v>99.9</v>
      </c>
      <c r="F28" s="61" t="s">
        <v>217</v>
      </c>
      <c r="G28" s="62" t="s">
        <v>156</v>
      </c>
      <c r="H28" s="78"/>
      <c r="I28" s="63" t="s">
        <v>246</v>
      </c>
      <c r="J28" s="64">
        <v>45932</v>
      </c>
      <c r="K28" s="61" t="s">
        <v>175</v>
      </c>
    </row>
    <row r="29" spans="1:11" x14ac:dyDescent="0.35">
      <c r="A29" s="59" t="s">
        <v>232</v>
      </c>
      <c r="B29" s="59" t="s">
        <v>176</v>
      </c>
      <c r="C29" s="59" t="s">
        <v>13</v>
      </c>
      <c r="D29" s="59" t="s">
        <v>264</v>
      </c>
      <c r="E29" s="60">
        <v>55.9</v>
      </c>
      <c r="F29" s="61" t="s">
        <v>217</v>
      </c>
      <c r="G29" s="62" t="s">
        <v>2</v>
      </c>
      <c r="H29" s="78" t="s">
        <v>261</v>
      </c>
      <c r="I29" s="63" t="s">
        <v>246</v>
      </c>
      <c r="J29" s="64">
        <v>45935</v>
      </c>
      <c r="K29" s="61" t="s">
        <v>175</v>
      </c>
    </row>
    <row r="30" spans="1:11" x14ac:dyDescent="0.35">
      <c r="A30" s="59" t="s">
        <v>232</v>
      </c>
      <c r="B30" s="59" t="s">
        <v>176</v>
      </c>
      <c r="C30" s="59" t="s">
        <v>14</v>
      </c>
      <c r="D30" s="59" t="s">
        <v>265</v>
      </c>
      <c r="E30" s="60">
        <v>21.9</v>
      </c>
      <c r="F30" s="61" t="s">
        <v>217</v>
      </c>
      <c r="G30" s="62" t="s">
        <v>2</v>
      </c>
      <c r="H30" s="78" t="s">
        <v>261</v>
      </c>
      <c r="I30" s="63" t="s">
        <v>246</v>
      </c>
      <c r="J30" s="64">
        <v>45935</v>
      </c>
      <c r="K30" s="61" t="s">
        <v>175</v>
      </c>
    </row>
    <row r="31" spans="1:11" x14ac:dyDescent="0.35">
      <c r="A31" s="59" t="s">
        <v>209</v>
      </c>
      <c r="B31" s="59" t="s">
        <v>21</v>
      </c>
      <c r="C31" s="59" t="s">
        <v>22</v>
      </c>
      <c r="D31" s="59" t="s">
        <v>274</v>
      </c>
      <c r="E31" s="60">
        <v>890</v>
      </c>
      <c r="F31" s="61" t="s">
        <v>217</v>
      </c>
      <c r="G31" s="62" t="s">
        <v>2</v>
      </c>
      <c r="H31" s="78" t="s">
        <v>262</v>
      </c>
      <c r="I31" s="63" t="s">
        <v>246</v>
      </c>
      <c r="J31" s="64">
        <v>45935</v>
      </c>
      <c r="K31" s="61" t="s">
        <v>227</v>
      </c>
    </row>
    <row r="32" spans="1:11" x14ac:dyDescent="0.35">
      <c r="A32" s="59" t="s">
        <v>232</v>
      </c>
      <c r="B32" s="59" t="s">
        <v>36</v>
      </c>
      <c r="C32" s="59" t="s">
        <v>195</v>
      </c>
      <c r="D32" s="59" t="s">
        <v>275</v>
      </c>
      <c r="E32" s="60">
        <v>6200</v>
      </c>
      <c r="F32" s="61" t="s">
        <v>218</v>
      </c>
      <c r="G32" s="62" t="s">
        <v>6</v>
      </c>
      <c r="H32" s="78"/>
      <c r="I32" s="63" t="s">
        <v>246</v>
      </c>
      <c r="J32" s="64">
        <v>45935</v>
      </c>
      <c r="K32" s="61" t="s">
        <v>223</v>
      </c>
    </row>
    <row r="33" spans="1:11" x14ac:dyDescent="0.35">
      <c r="A33" s="59" t="s">
        <v>210</v>
      </c>
      <c r="B33" s="59" t="s">
        <v>176</v>
      </c>
      <c r="C33" s="59" t="s">
        <v>75</v>
      </c>
      <c r="D33" s="59" t="s">
        <v>266</v>
      </c>
      <c r="E33" s="60">
        <v>19.899999999999999</v>
      </c>
      <c r="F33" s="61" t="s">
        <v>217</v>
      </c>
      <c r="G33" s="62" t="s">
        <v>2</v>
      </c>
      <c r="H33" s="78" t="s">
        <v>261</v>
      </c>
      <c r="I33" s="63" t="s">
        <v>246</v>
      </c>
      <c r="J33" s="64">
        <v>45937</v>
      </c>
      <c r="K33" s="61" t="s">
        <v>175</v>
      </c>
    </row>
    <row r="34" spans="1:11" x14ac:dyDescent="0.35">
      <c r="A34" s="59" t="s">
        <v>232</v>
      </c>
      <c r="B34" s="59" t="s">
        <v>176</v>
      </c>
      <c r="C34" s="59" t="s">
        <v>85</v>
      </c>
      <c r="D34" s="59" t="s">
        <v>270</v>
      </c>
      <c r="E34" s="60">
        <v>79.900000000000006</v>
      </c>
      <c r="F34" s="61" t="s">
        <v>217</v>
      </c>
      <c r="G34" s="62" t="s">
        <v>156</v>
      </c>
      <c r="H34" s="78"/>
      <c r="I34" s="63" t="s">
        <v>246</v>
      </c>
      <c r="J34" s="64">
        <v>45937</v>
      </c>
      <c r="K34" s="61" t="s">
        <v>175</v>
      </c>
    </row>
    <row r="35" spans="1:11" x14ac:dyDescent="0.35">
      <c r="A35" s="59" t="s">
        <v>210</v>
      </c>
      <c r="B35" s="59" t="s">
        <v>176</v>
      </c>
      <c r="C35" s="59" t="s">
        <v>158</v>
      </c>
      <c r="D35" s="59" t="s">
        <v>267</v>
      </c>
      <c r="E35" s="60">
        <v>109</v>
      </c>
      <c r="F35" s="61" t="s">
        <v>217</v>
      </c>
      <c r="G35" s="62" t="s">
        <v>2</v>
      </c>
      <c r="H35" s="78" t="s">
        <v>263</v>
      </c>
      <c r="I35" s="63" t="s">
        <v>246</v>
      </c>
      <c r="J35" s="64">
        <v>45940</v>
      </c>
      <c r="K35" s="61" t="s">
        <v>208</v>
      </c>
    </row>
    <row r="36" spans="1:11" x14ac:dyDescent="0.35">
      <c r="A36" s="59" t="s">
        <v>209</v>
      </c>
      <c r="B36" s="59" t="s">
        <v>176</v>
      </c>
      <c r="C36" s="59" t="s">
        <v>159</v>
      </c>
      <c r="D36" s="59" t="s">
        <v>268</v>
      </c>
      <c r="E36" s="60">
        <v>99</v>
      </c>
      <c r="F36" s="61" t="s">
        <v>217</v>
      </c>
      <c r="G36" s="62" t="s">
        <v>2</v>
      </c>
      <c r="H36" s="78" t="s">
        <v>263</v>
      </c>
      <c r="I36" s="63" t="s">
        <v>246</v>
      </c>
      <c r="J36" s="64">
        <v>45940</v>
      </c>
      <c r="K36" s="61" t="s">
        <v>175</v>
      </c>
    </row>
    <row r="37" spans="1:11" x14ac:dyDescent="0.35">
      <c r="A37" s="59" t="s">
        <v>232</v>
      </c>
      <c r="B37" s="59" t="s">
        <v>29</v>
      </c>
      <c r="C37" s="59" t="s">
        <v>31</v>
      </c>
      <c r="D37" s="59" t="s">
        <v>272</v>
      </c>
      <c r="E37" s="60">
        <v>650</v>
      </c>
      <c r="F37" s="61" t="s">
        <v>217</v>
      </c>
      <c r="G37" s="62" t="s">
        <v>6</v>
      </c>
      <c r="H37" s="78"/>
      <c r="I37" s="63" t="s">
        <v>246</v>
      </c>
      <c r="J37" s="64">
        <v>45940</v>
      </c>
      <c r="K37" s="61" t="s">
        <v>175</v>
      </c>
    </row>
    <row r="38" spans="1:11" x14ac:dyDescent="0.35">
      <c r="A38" s="59" t="s">
        <v>260</v>
      </c>
      <c r="B38" s="59" t="s">
        <v>176</v>
      </c>
      <c r="C38" s="59" t="s">
        <v>16</v>
      </c>
      <c r="D38" s="59" t="s">
        <v>271</v>
      </c>
      <c r="E38" s="60">
        <v>27.9</v>
      </c>
      <c r="F38" s="61" t="s">
        <v>217</v>
      </c>
      <c r="G38" s="62" t="s">
        <v>2</v>
      </c>
      <c r="H38" s="78" t="s">
        <v>262</v>
      </c>
      <c r="I38" s="63" t="s">
        <v>246</v>
      </c>
      <c r="J38" s="64">
        <v>45945</v>
      </c>
      <c r="K38" s="61" t="s">
        <v>175</v>
      </c>
    </row>
    <row r="39" spans="1:11" x14ac:dyDescent="0.35">
      <c r="A39" s="59" t="s">
        <v>232</v>
      </c>
      <c r="B39" s="59" t="s">
        <v>29</v>
      </c>
      <c r="C39" s="59" t="s">
        <v>189</v>
      </c>
      <c r="D39" s="59" t="s">
        <v>273</v>
      </c>
      <c r="E39" s="60">
        <v>89.9</v>
      </c>
      <c r="F39" s="61" t="s">
        <v>217</v>
      </c>
      <c r="G39" s="62" t="s">
        <v>156</v>
      </c>
      <c r="H39" s="78"/>
      <c r="I39" s="63" t="s">
        <v>246</v>
      </c>
      <c r="J39" s="64">
        <v>45950</v>
      </c>
      <c r="K39" s="61" t="s">
        <v>175</v>
      </c>
    </row>
    <row r="40" spans="1:11" x14ac:dyDescent="0.35">
      <c r="A40" s="59" t="s">
        <v>232</v>
      </c>
      <c r="B40" s="59" t="s">
        <v>176</v>
      </c>
      <c r="C40" s="59" t="s">
        <v>20</v>
      </c>
      <c r="D40" s="59" t="s">
        <v>269</v>
      </c>
      <c r="E40" s="60">
        <v>99.9</v>
      </c>
      <c r="F40" s="61" t="s">
        <v>217</v>
      </c>
      <c r="G40" s="62" t="s">
        <v>156</v>
      </c>
      <c r="H40" s="78"/>
      <c r="I40" s="63" t="s">
        <v>246</v>
      </c>
      <c r="J40" s="64">
        <v>45963</v>
      </c>
      <c r="K40" s="61" t="s">
        <v>175</v>
      </c>
    </row>
    <row r="41" spans="1:11" x14ac:dyDescent="0.35">
      <c r="A41" s="59" t="s">
        <v>232</v>
      </c>
      <c r="B41" s="59" t="s">
        <v>176</v>
      </c>
      <c r="C41" s="59" t="s">
        <v>13</v>
      </c>
      <c r="D41" s="59" t="s">
        <v>264</v>
      </c>
      <c r="E41" s="60">
        <v>55.9</v>
      </c>
      <c r="F41" s="61" t="s">
        <v>217</v>
      </c>
      <c r="G41" s="62" t="s">
        <v>2</v>
      </c>
      <c r="H41" s="78" t="s">
        <v>261</v>
      </c>
      <c r="I41" s="63" t="s">
        <v>246</v>
      </c>
      <c r="J41" s="64">
        <v>45966</v>
      </c>
      <c r="K41" s="61" t="s">
        <v>175</v>
      </c>
    </row>
    <row r="42" spans="1:11" x14ac:dyDescent="0.35">
      <c r="A42" s="59" t="s">
        <v>232</v>
      </c>
      <c r="B42" s="59" t="s">
        <v>176</v>
      </c>
      <c r="C42" s="59" t="s">
        <v>14</v>
      </c>
      <c r="D42" s="59" t="s">
        <v>265</v>
      </c>
      <c r="E42" s="60">
        <v>21.9</v>
      </c>
      <c r="F42" s="61" t="s">
        <v>217</v>
      </c>
      <c r="G42" s="62" t="s">
        <v>2</v>
      </c>
      <c r="H42" s="78" t="s">
        <v>261</v>
      </c>
      <c r="I42" s="63" t="s">
        <v>246</v>
      </c>
      <c r="J42" s="64">
        <v>45966</v>
      </c>
      <c r="K42" s="61" t="s">
        <v>175</v>
      </c>
    </row>
    <row r="43" spans="1:11" x14ac:dyDescent="0.35">
      <c r="A43" s="59" t="s">
        <v>209</v>
      </c>
      <c r="B43" s="59" t="s">
        <v>21</v>
      </c>
      <c r="C43" s="59" t="s">
        <v>22</v>
      </c>
      <c r="D43" s="59" t="s">
        <v>274</v>
      </c>
      <c r="E43" s="60">
        <v>890</v>
      </c>
      <c r="F43" s="61" t="s">
        <v>217</v>
      </c>
      <c r="G43" s="62" t="s">
        <v>2</v>
      </c>
      <c r="H43" s="78" t="s">
        <v>262</v>
      </c>
      <c r="I43" s="63" t="s">
        <v>246</v>
      </c>
      <c r="J43" s="64">
        <v>45966</v>
      </c>
      <c r="K43" s="61" t="s">
        <v>227</v>
      </c>
    </row>
    <row r="44" spans="1:11" x14ac:dyDescent="0.35">
      <c r="A44" s="59" t="s">
        <v>232</v>
      </c>
      <c r="B44" s="59" t="s">
        <v>36</v>
      </c>
      <c r="C44" s="59" t="s">
        <v>195</v>
      </c>
      <c r="D44" s="59" t="s">
        <v>275</v>
      </c>
      <c r="E44" s="60">
        <v>6200</v>
      </c>
      <c r="F44" s="61" t="s">
        <v>218</v>
      </c>
      <c r="G44" s="62" t="s">
        <v>6</v>
      </c>
      <c r="H44" s="78"/>
      <c r="I44" s="63" t="s">
        <v>246</v>
      </c>
      <c r="J44" s="64">
        <v>45966</v>
      </c>
      <c r="K44" s="61" t="s">
        <v>223</v>
      </c>
    </row>
    <row r="45" spans="1:11" x14ac:dyDescent="0.35">
      <c r="A45" s="59" t="s">
        <v>210</v>
      </c>
      <c r="B45" s="59" t="s">
        <v>176</v>
      </c>
      <c r="C45" s="59" t="s">
        <v>75</v>
      </c>
      <c r="D45" s="59" t="s">
        <v>266</v>
      </c>
      <c r="E45" s="60">
        <v>19.899999999999999</v>
      </c>
      <c r="F45" s="61" t="s">
        <v>217</v>
      </c>
      <c r="G45" s="62" t="s">
        <v>2</v>
      </c>
      <c r="H45" s="78" t="s">
        <v>261</v>
      </c>
      <c r="I45" s="63" t="s">
        <v>246</v>
      </c>
      <c r="J45" s="64">
        <v>45968</v>
      </c>
      <c r="K45" s="61" t="s">
        <v>175</v>
      </c>
    </row>
    <row r="46" spans="1:11" x14ac:dyDescent="0.35">
      <c r="A46" s="59" t="s">
        <v>232</v>
      </c>
      <c r="B46" s="59" t="s">
        <v>176</v>
      </c>
      <c r="C46" s="59" t="s">
        <v>85</v>
      </c>
      <c r="D46" s="59" t="s">
        <v>270</v>
      </c>
      <c r="E46" s="60">
        <v>79.900000000000006</v>
      </c>
      <c r="F46" s="61" t="s">
        <v>217</v>
      </c>
      <c r="G46" s="62" t="s">
        <v>156</v>
      </c>
      <c r="H46" s="78"/>
      <c r="I46" s="63" t="s">
        <v>246</v>
      </c>
      <c r="J46" s="64">
        <v>45968</v>
      </c>
      <c r="K46" s="61" t="s">
        <v>175</v>
      </c>
    </row>
    <row r="47" spans="1:11" x14ac:dyDescent="0.35">
      <c r="A47" s="59" t="s">
        <v>210</v>
      </c>
      <c r="B47" s="59" t="s">
        <v>176</v>
      </c>
      <c r="C47" s="59" t="s">
        <v>158</v>
      </c>
      <c r="D47" s="59" t="s">
        <v>267</v>
      </c>
      <c r="E47" s="60">
        <v>109</v>
      </c>
      <c r="F47" s="61" t="s">
        <v>217</v>
      </c>
      <c r="G47" s="62" t="s">
        <v>2</v>
      </c>
      <c r="H47" s="78" t="s">
        <v>263</v>
      </c>
      <c r="I47" s="63" t="s">
        <v>246</v>
      </c>
      <c r="J47" s="64">
        <v>45971</v>
      </c>
      <c r="K47" s="61" t="s">
        <v>175</v>
      </c>
    </row>
    <row r="48" spans="1:11" x14ac:dyDescent="0.35">
      <c r="A48" s="59" t="s">
        <v>209</v>
      </c>
      <c r="B48" s="59" t="s">
        <v>176</v>
      </c>
      <c r="C48" s="59" t="s">
        <v>159</v>
      </c>
      <c r="D48" s="59" t="s">
        <v>268</v>
      </c>
      <c r="E48" s="60">
        <v>99</v>
      </c>
      <c r="F48" s="61" t="s">
        <v>217</v>
      </c>
      <c r="G48" s="62" t="s">
        <v>2</v>
      </c>
      <c r="H48" s="78" t="s">
        <v>263</v>
      </c>
      <c r="I48" s="63" t="s">
        <v>246</v>
      </c>
      <c r="J48" s="64">
        <v>45971</v>
      </c>
      <c r="K48" s="61" t="s">
        <v>175</v>
      </c>
    </row>
    <row r="49" spans="1:11" x14ac:dyDescent="0.35">
      <c r="A49" s="59" t="s">
        <v>232</v>
      </c>
      <c r="B49" s="59" t="s">
        <v>29</v>
      </c>
      <c r="C49" s="59" t="s">
        <v>31</v>
      </c>
      <c r="D49" s="59" t="s">
        <v>272</v>
      </c>
      <c r="E49" s="60">
        <v>650</v>
      </c>
      <c r="F49" s="61" t="s">
        <v>217</v>
      </c>
      <c r="G49" s="62" t="s">
        <v>6</v>
      </c>
      <c r="H49" s="78"/>
      <c r="I49" s="63" t="s">
        <v>246</v>
      </c>
      <c r="J49" s="64">
        <v>45971</v>
      </c>
      <c r="K49" s="61" t="s">
        <v>175</v>
      </c>
    </row>
    <row r="50" spans="1:11" x14ac:dyDescent="0.35">
      <c r="A50" s="59" t="s">
        <v>210</v>
      </c>
      <c r="B50" s="59" t="s">
        <v>36</v>
      </c>
      <c r="C50" s="59" t="s">
        <v>128</v>
      </c>
      <c r="D50" s="59" t="s">
        <v>277</v>
      </c>
      <c r="E50" s="60">
        <v>55.9</v>
      </c>
      <c r="F50" s="61" t="s">
        <v>218</v>
      </c>
      <c r="G50" s="62" t="s">
        <v>4</v>
      </c>
      <c r="H50" s="78"/>
      <c r="I50" s="63" t="s">
        <v>246</v>
      </c>
      <c r="J50" s="64">
        <v>45974</v>
      </c>
      <c r="K50" s="61" t="s">
        <v>175</v>
      </c>
    </row>
    <row r="51" spans="1:11" x14ac:dyDescent="0.35">
      <c r="A51" s="59" t="s">
        <v>260</v>
      </c>
      <c r="B51" s="59" t="s">
        <v>176</v>
      </c>
      <c r="C51" s="59" t="s">
        <v>16</v>
      </c>
      <c r="D51" s="59" t="s">
        <v>271</v>
      </c>
      <c r="E51" s="60">
        <v>27.9</v>
      </c>
      <c r="F51" s="61" t="s">
        <v>217</v>
      </c>
      <c r="G51" s="62" t="s">
        <v>2</v>
      </c>
      <c r="H51" s="78" t="s">
        <v>262</v>
      </c>
      <c r="I51" s="63" t="s">
        <v>246</v>
      </c>
      <c r="J51" s="64">
        <v>45976</v>
      </c>
      <c r="K51" s="61" t="s">
        <v>175</v>
      </c>
    </row>
    <row r="52" spans="1:11" x14ac:dyDescent="0.35">
      <c r="A52" s="59" t="s">
        <v>232</v>
      </c>
      <c r="B52" s="59" t="s">
        <v>29</v>
      </c>
      <c r="C52" s="59" t="s">
        <v>189</v>
      </c>
      <c r="D52" s="59" t="s">
        <v>273</v>
      </c>
      <c r="E52" s="60">
        <v>89.9</v>
      </c>
      <c r="F52" s="61" t="s">
        <v>217</v>
      </c>
      <c r="G52" s="62" t="s">
        <v>156</v>
      </c>
      <c r="H52" s="78"/>
      <c r="I52" s="63" t="s">
        <v>246</v>
      </c>
      <c r="J52" s="64">
        <v>45981</v>
      </c>
      <c r="K52" s="61" t="s">
        <v>175</v>
      </c>
    </row>
    <row r="53" spans="1:11" x14ac:dyDescent="0.35">
      <c r="A53" s="59" t="s">
        <v>232</v>
      </c>
      <c r="B53" s="59" t="s">
        <v>176</v>
      </c>
      <c r="C53" s="59" t="s">
        <v>20</v>
      </c>
      <c r="D53" s="59" t="s">
        <v>269</v>
      </c>
      <c r="E53" s="60">
        <v>99.9</v>
      </c>
      <c r="F53" s="61" t="s">
        <v>217</v>
      </c>
      <c r="G53" s="62" t="s">
        <v>156</v>
      </c>
      <c r="H53" s="78"/>
      <c r="I53" s="63" t="s">
        <v>246</v>
      </c>
      <c r="J53" s="64">
        <v>45993</v>
      </c>
      <c r="K53" s="61" t="s">
        <v>175</v>
      </c>
    </row>
    <row r="54" spans="1:11" x14ac:dyDescent="0.35">
      <c r="A54" s="59" t="s">
        <v>232</v>
      </c>
      <c r="B54" s="59" t="s">
        <v>176</v>
      </c>
      <c r="C54" s="59" t="s">
        <v>13</v>
      </c>
      <c r="D54" s="59" t="s">
        <v>264</v>
      </c>
      <c r="E54" s="60">
        <v>55.9</v>
      </c>
      <c r="F54" s="61" t="s">
        <v>217</v>
      </c>
      <c r="G54" s="62" t="s">
        <v>2</v>
      </c>
      <c r="H54" s="78" t="s">
        <v>261</v>
      </c>
      <c r="I54" s="63" t="s">
        <v>246</v>
      </c>
      <c r="J54" s="64">
        <v>45996</v>
      </c>
      <c r="K54" s="61" t="s">
        <v>175</v>
      </c>
    </row>
    <row r="55" spans="1:11" x14ac:dyDescent="0.35">
      <c r="A55" s="59" t="s">
        <v>232</v>
      </c>
      <c r="B55" s="59" t="s">
        <v>176</v>
      </c>
      <c r="C55" s="59" t="s">
        <v>14</v>
      </c>
      <c r="D55" s="59" t="s">
        <v>265</v>
      </c>
      <c r="E55" s="60">
        <v>21.9</v>
      </c>
      <c r="F55" s="61" t="s">
        <v>217</v>
      </c>
      <c r="G55" s="62" t="s">
        <v>2</v>
      </c>
      <c r="H55" s="78" t="s">
        <v>261</v>
      </c>
      <c r="I55" s="63" t="s">
        <v>246</v>
      </c>
      <c r="J55" s="64">
        <v>45996</v>
      </c>
      <c r="K55" s="61" t="s">
        <v>175</v>
      </c>
    </row>
    <row r="56" spans="1:11" x14ac:dyDescent="0.35">
      <c r="A56" s="59" t="s">
        <v>209</v>
      </c>
      <c r="B56" s="59" t="s">
        <v>21</v>
      </c>
      <c r="C56" s="59" t="s">
        <v>22</v>
      </c>
      <c r="D56" s="59" t="s">
        <v>274</v>
      </c>
      <c r="E56" s="60">
        <v>890</v>
      </c>
      <c r="F56" s="61" t="s">
        <v>217</v>
      </c>
      <c r="G56" s="62" t="s">
        <v>2</v>
      </c>
      <c r="H56" s="78" t="s">
        <v>262</v>
      </c>
      <c r="I56" s="63" t="s">
        <v>246</v>
      </c>
      <c r="J56" s="64">
        <v>45996</v>
      </c>
      <c r="K56" s="61" t="s">
        <v>227</v>
      </c>
    </row>
    <row r="57" spans="1:11" x14ac:dyDescent="0.35">
      <c r="A57" s="59" t="s">
        <v>232</v>
      </c>
      <c r="B57" s="59" t="s">
        <v>36</v>
      </c>
      <c r="C57" s="59" t="s">
        <v>195</v>
      </c>
      <c r="D57" s="59" t="s">
        <v>275</v>
      </c>
      <c r="E57" s="60">
        <v>6200</v>
      </c>
      <c r="F57" s="61" t="s">
        <v>218</v>
      </c>
      <c r="G57" s="62" t="s">
        <v>6</v>
      </c>
      <c r="H57" s="78"/>
      <c r="I57" s="63" t="s">
        <v>246</v>
      </c>
      <c r="J57" s="64">
        <v>45996</v>
      </c>
      <c r="K57" s="61" t="s">
        <v>175</v>
      </c>
    </row>
    <row r="58" spans="1:11" x14ac:dyDescent="0.35">
      <c r="A58" s="59" t="s">
        <v>210</v>
      </c>
      <c r="B58" s="59" t="s">
        <v>176</v>
      </c>
      <c r="C58" s="59" t="s">
        <v>75</v>
      </c>
      <c r="D58" s="59" t="s">
        <v>266</v>
      </c>
      <c r="E58" s="60">
        <v>19.899999999999999</v>
      </c>
      <c r="F58" s="61" t="s">
        <v>217</v>
      </c>
      <c r="G58" s="62" t="s">
        <v>2</v>
      </c>
      <c r="H58" s="78" t="s">
        <v>261</v>
      </c>
      <c r="I58" s="63" t="s">
        <v>246</v>
      </c>
      <c r="J58" s="64">
        <v>45998</v>
      </c>
      <c r="K58" s="61" t="s">
        <v>175</v>
      </c>
    </row>
    <row r="59" spans="1:11" x14ac:dyDescent="0.35">
      <c r="A59" s="59" t="s">
        <v>232</v>
      </c>
      <c r="B59" s="59" t="s">
        <v>176</v>
      </c>
      <c r="C59" s="59" t="s">
        <v>85</v>
      </c>
      <c r="D59" s="59" t="s">
        <v>270</v>
      </c>
      <c r="E59" s="60">
        <v>79.900000000000006</v>
      </c>
      <c r="F59" s="61" t="s">
        <v>217</v>
      </c>
      <c r="G59" s="62" t="s">
        <v>156</v>
      </c>
      <c r="H59" s="78"/>
      <c r="I59" s="63" t="s">
        <v>246</v>
      </c>
      <c r="J59" s="64">
        <v>45998</v>
      </c>
      <c r="K59" s="61" t="s">
        <v>175</v>
      </c>
    </row>
    <row r="60" spans="1:11" x14ac:dyDescent="0.35">
      <c r="A60" s="59" t="s">
        <v>210</v>
      </c>
      <c r="B60" s="59" t="s">
        <v>176</v>
      </c>
      <c r="C60" s="59" t="s">
        <v>158</v>
      </c>
      <c r="D60" s="59" t="s">
        <v>267</v>
      </c>
      <c r="E60" s="60">
        <v>109</v>
      </c>
      <c r="F60" s="61" t="s">
        <v>217</v>
      </c>
      <c r="G60" s="62" t="s">
        <v>2</v>
      </c>
      <c r="H60" s="78" t="s">
        <v>263</v>
      </c>
      <c r="I60" s="63" t="s">
        <v>246</v>
      </c>
      <c r="J60" s="64">
        <v>46001</v>
      </c>
      <c r="K60" s="61" t="s">
        <v>175</v>
      </c>
    </row>
    <row r="61" spans="1:11" x14ac:dyDescent="0.35">
      <c r="A61" s="59" t="s">
        <v>209</v>
      </c>
      <c r="B61" s="59" t="s">
        <v>176</v>
      </c>
      <c r="C61" s="59" t="s">
        <v>159</v>
      </c>
      <c r="D61" s="59" t="s">
        <v>268</v>
      </c>
      <c r="E61" s="60">
        <v>99</v>
      </c>
      <c r="F61" s="61" t="s">
        <v>217</v>
      </c>
      <c r="G61" s="62" t="s">
        <v>2</v>
      </c>
      <c r="H61" s="78" t="s">
        <v>263</v>
      </c>
      <c r="I61" s="63" t="s">
        <v>246</v>
      </c>
      <c r="J61" s="64">
        <v>46001</v>
      </c>
      <c r="K61" s="61" t="s">
        <v>175</v>
      </c>
    </row>
    <row r="62" spans="1:11" x14ac:dyDescent="0.35">
      <c r="A62" s="59" t="s">
        <v>232</v>
      </c>
      <c r="B62" s="59" t="s">
        <v>29</v>
      </c>
      <c r="C62" s="59" t="s">
        <v>31</v>
      </c>
      <c r="D62" s="59" t="s">
        <v>272</v>
      </c>
      <c r="E62" s="60">
        <v>650</v>
      </c>
      <c r="F62" s="61" t="s">
        <v>217</v>
      </c>
      <c r="G62" s="62" t="s">
        <v>6</v>
      </c>
      <c r="H62" s="78"/>
      <c r="I62" s="63" t="s">
        <v>246</v>
      </c>
      <c r="J62" s="64">
        <v>46001</v>
      </c>
      <c r="K62" s="61" t="s">
        <v>175</v>
      </c>
    </row>
    <row r="63" spans="1:11" x14ac:dyDescent="0.35">
      <c r="A63" s="59" t="s">
        <v>260</v>
      </c>
      <c r="B63" s="59" t="s">
        <v>176</v>
      </c>
      <c r="C63" s="59" t="s">
        <v>16</v>
      </c>
      <c r="D63" s="59" t="s">
        <v>271</v>
      </c>
      <c r="E63" s="60">
        <v>27.9</v>
      </c>
      <c r="F63" s="61" t="s">
        <v>217</v>
      </c>
      <c r="G63" s="62" t="s">
        <v>2</v>
      </c>
      <c r="H63" s="78" t="s">
        <v>262</v>
      </c>
      <c r="I63" s="63" t="s">
        <v>246</v>
      </c>
      <c r="J63" s="64">
        <v>46006</v>
      </c>
      <c r="K63" s="61" t="s">
        <v>175</v>
      </c>
    </row>
    <row r="64" spans="1:11" x14ac:dyDescent="0.35">
      <c r="A64" s="59" t="s">
        <v>232</v>
      </c>
      <c r="B64" s="59" t="s">
        <v>29</v>
      </c>
      <c r="C64" s="59" t="s">
        <v>189</v>
      </c>
      <c r="D64" s="59" t="s">
        <v>273</v>
      </c>
      <c r="E64" s="60">
        <v>89.9</v>
      </c>
      <c r="F64" s="61" t="s">
        <v>217</v>
      </c>
      <c r="G64" s="62" t="s">
        <v>156</v>
      </c>
      <c r="H64" s="78"/>
      <c r="I64" s="63" t="s">
        <v>246</v>
      </c>
      <c r="J64" s="64">
        <v>46011</v>
      </c>
      <c r="K64" s="61" t="s">
        <v>223</v>
      </c>
    </row>
    <row r="65" spans="1:11" x14ac:dyDescent="0.35">
      <c r="A65" s="59" t="s">
        <v>232</v>
      </c>
      <c r="B65" s="59" t="s">
        <v>176</v>
      </c>
      <c r="C65" s="59" t="s">
        <v>20</v>
      </c>
      <c r="D65" s="59" t="s">
        <v>269</v>
      </c>
      <c r="E65" s="60">
        <v>99.9</v>
      </c>
      <c r="F65" s="61" t="s">
        <v>217</v>
      </c>
      <c r="G65" s="62" t="s">
        <v>156</v>
      </c>
      <c r="H65" s="78"/>
      <c r="I65" s="63" t="s">
        <v>246</v>
      </c>
      <c r="J65" s="64">
        <v>46024</v>
      </c>
      <c r="K65" s="61" t="s">
        <v>175</v>
      </c>
    </row>
    <row r="66" spans="1:11" x14ac:dyDescent="0.35">
      <c r="A66" s="59" t="s">
        <v>232</v>
      </c>
      <c r="B66" s="59" t="s">
        <v>176</v>
      </c>
      <c r="C66" s="59" t="s">
        <v>13</v>
      </c>
      <c r="D66" s="59" t="s">
        <v>264</v>
      </c>
      <c r="E66" s="60">
        <v>55.9</v>
      </c>
      <c r="F66" s="61" t="s">
        <v>217</v>
      </c>
      <c r="G66" s="62" t="s">
        <v>2</v>
      </c>
      <c r="H66" s="78" t="s">
        <v>261</v>
      </c>
      <c r="I66" s="63" t="s">
        <v>246</v>
      </c>
      <c r="J66" s="64">
        <v>46027</v>
      </c>
      <c r="K66" s="61" t="s">
        <v>175</v>
      </c>
    </row>
    <row r="67" spans="1:11" x14ac:dyDescent="0.35">
      <c r="A67" s="59" t="s">
        <v>232</v>
      </c>
      <c r="B67" s="59" t="s">
        <v>176</v>
      </c>
      <c r="C67" s="59" t="s">
        <v>14</v>
      </c>
      <c r="D67" s="59" t="s">
        <v>265</v>
      </c>
      <c r="E67" s="60">
        <v>21.9</v>
      </c>
      <c r="F67" s="61" t="s">
        <v>217</v>
      </c>
      <c r="G67" s="62" t="s">
        <v>2</v>
      </c>
      <c r="H67" s="78" t="s">
        <v>261</v>
      </c>
      <c r="I67" s="63" t="s">
        <v>246</v>
      </c>
      <c r="J67" s="64">
        <v>46027</v>
      </c>
      <c r="K67" s="61" t="s">
        <v>175</v>
      </c>
    </row>
    <row r="68" spans="1:11" x14ac:dyDescent="0.35">
      <c r="A68" s="59" t="s">
        <v>209</v>
      </c>
      <c r="B68" s="59" t="s">
        <v>21</v>
      </c>
      <c r="C68" s="59" t="s">
        <v>22</v>
      </c>
      <c r="D68" s="59" t="s">
        <v>274</v>
      </c>
      <c r="E68" s="60">
        <v>890</v>
      </c>
      <c r="F68" s="61" t="s">
        <v>217</v>
      </c>
      <c r="G68" s="62" t="s">
        <v>2</v>
      </c>
      <c r="H68" s="78" t="s">
        <v>262</v>
      </c>
      <c r="I68" s="63" t="s">
        <v>246</v>
      </c>
      <c r="J68" s="64">
        <v>46027</v>
      </c>
      <c r="K68" s="61" t="s">
        <v>227</v>
      </c>
    </row>
    <row r="69" spans="1:11" x14ac:dyDescent="0.35">
      <c r="A69" s="59" t="s">
        <v>232</v>
      </c>
      <c r="B69" s="59" t="s">
        <v>36</v>
      </c>
      <c r="C69" s="59" t="s">
        <v>195</v>
      </c>
      <c r="D69" s="59" t="s">
        <v>275</v>
      </c>
      <c r="E69" s="60">
        <v>6700</v>
      </c>
      <c r="F69" s="61" t="s">
        <v>218</v>
      </c>
      <c r="G69" s="62" t="s">
        <v>6</v>
      </c>
      <c r="H69" s="78"/>
      <c r="I69" s="63" t="s">
        <v>246</v>
      </c>
      <c r="J69" s="64">
        <v>46027</v>
      </c>
      <c r="K69" s="61" t="s">
        <v>175</v>
      </c>
    </row>
    <row r="70" spans="1:11" x14ac:dyDescent="0.35">
      <c r="A70" s="59" t="s">
        <v>210</v>
      </c>
      <c r="B70" s="59" t="s">
        <v>176</v>
      </c>
      <c r="C70" s="59" t="s">
        <v>75</v>
      </c>
      <c r="D70" s="59" t="s">
        <v>266</v>
      </c>
      <c r="E70" s="60">
        <v>19.899999999999999</v>
      </c>
      <c r="F70" s="61" t="s">
        <v>217</v>
      </c>
      <c r="G70" s="62" t="s">
        <v>2</v>
      </c>
      <c r="H70" s="78" t="s">
        <v>261</v>
      </c>
      <c r="I70" s="63" t="s">
        <v>246</v>
      </c>
      <c r="J70" s="64">
        <v>46029</v>
      </c>
      <c r="K70" s="61" t="s">
        <v>208</v>
      </c>
    </row>
    <row r="71" spans="1:11" x14ac:dyDescent="0.35">
      <c r="A71" s="59" t="s">
        <v>232</v>
      </c>
      <c r="B71" s="59" t="s">
        <v>176</v>
      </c>
      <c r="C71" s="59" t="s">
        <v>85</v>
      </c>
      <c r="D71" s="59" t="s">
        <v>270</v>
      </c>
      <c r="E71" s="60">
        <v>79.900000000000006</v>
      </c>
      <c r="F71" s="61" t="s">
        <v>217</v>
      </c>
      <c r="G71" s="62" t="s">
        <v>156</v>
      </c>
      <c r="H71" s="78"/>
      <c r="I71" s="63" t="s">
        <v>246</v>
      </c>
      <c r="J71" s="64">
        <v>46029</v>
      </c>
      <c r="K71" s="61" t="s">
        <v>175</v>
      </c>
    </row>
    <row r="72" spans="1:11" x14ac:dyDescent="0.35">
      <c r="A72" s="59" t="s">
        <v>210</v>
      </c>
      <c r="B72" s="59" t="s">
        <v>176</v>
      </c>
      <c r="C72" s="59" t="s">
        <v>158</v>
      </c>
      <c r="D72" s="59" t="s">
        <v>267</v>
      </c>
      <c r="E72" s="60">
        <v>109</v>
      </c>
      <c r="F72" s="61" t="s">
        <v>217</v>
      </c>
      <c r="G72" s="62" t="s">
        <v>2</v>
      </c>
      <c r="H72" s="78" t="s">
        <v>263</v>
      </c>
      <c r="I72" s="63" t="s">
        <v>246</v>
      </c>
      <c r="J72" s="64">
        <v>46032</v>
      </c>
      <c r="K72" s="61" t="s">
        <v>175</v>
      </c>
    </row>
    <row r="73" spans="1:11" x14ac:dyDescent="0.35">
      <c r="A73" s="59" t="s">
        <v>209</v>
      </c>
      <c r="B73" s="59" t="s">
        <v>176</v>
      </c>
      <c r="C73" s="59" t="s">
        <v>159</v>
      </c>
      <c r="D73" s="59" t="s">
        <v>268</v>
      </c>
      <c r="E73" s="60">
        <v>99</v>
      </c>
      <c r="F73" s="61" t="s">
        <v>217</v>
      </c>
      <c r="G73" s="62" t="s">
        <v>2</v>
      </c>
      <c r="H73" s="78" t="s">
        <v>263</v>
      </c>
      <c r="I73" s="63" t="s">
        <v>246</v>
      </c>
      <c r="J73" s="64">
        <v>46032</v>
      </c>
      <c r="K73" s="61" t="s">
        <v>175</v>
      </c>
    </row>
    <row r="74" spans="1:11" x14ac:dyDescent="0.35">
      <c r="A74" s="59" t="s">
        <v>232</v>
      </c>
      <c r="B74" s="59" t="s">
        <v>29</v>
      </c>
      <c r="C74" s="59" t="s">
        <v>31</v>
      </c>
      <c r="D74" s="59" t="s">
        <v>272</v>
      </c>
      <c r="E74" s="60">
        <v>650</v>
      </c>
      <c r="F74" s="61" t="s">
        <v>217</v>
      </c>
      <c r="G74" s="62" t="s">
        <v>6</v>
      </c>
      <c r="H74" s="78"/>
      <c r="I74" s="63" t="s">
        <v>246</v>
      </c>
      <c r="J74" s="64">
        <v>46032</v>
      </c>
      <c r="K74" s="61" t="s">
        <v>175</v>
      </c>
    </row>
    <row r="75" spans="1:11" x14ac:dyDescent="0.35">
      <c r="A75" s="59" t="s">
        <v>260</v>
      </c>
      <c r="B75" s="59" t="s">
        <v>176</v>
      </c>
      <c r="C75" s="59" t="s">
        <v>16</v>
      </c>
      <c r="D75" s="59" t="s">
        <v>271</v>
      </c>
      <c r="E75" s="60">
        <v>27.9</v>
      </c>
      <c r="F75" s="61" t="s">
        <v>217</v>
      </c>
      <c r="G75" s="62" t="s">
        <v>2</v>
      </c>
      <c r="H75" s="78" t="s">
        <v>262</v>
      </c>
      <c r="I75" s="63" t="s">
        <v>246</v>
      </c>
      <c r="J75" s="64">
        <v>46037</v>
      </c>
      <c r="K75" s="61" t="s">
        <v>175</v>
      </c>
    </row>
    <row r="76" spans="1:11" x14ac:dyDescent="0.35">
      <c r="A76" s="59" t="s">
        <v>232</v>
      </c>
      <c r="B76" s="59" t="s">
        <v>29</v>
      </c>
      <c r="C76" s="59" t="s">
        <v>189</v>
      </c>
      <c r="D76" s="59" t="s">
        <v>273</v>
      </c>
      <c r="E76" s="60">
        <v>89.9</v>
      </c>
      <c r="F76" s="61" t="s">
        <v>217</v>
      </c>
      <c r="G76" s="62" t="s">
        <v>156</v>
      </c>
      <c r="H76" s="78"/>
      <c r="I76" s="63" t="s">
        <v>246</v>
      </c>
      <c r="J76" s="64">
        <v>46042</v>
      </c>
      <c r="K76" s="61" t="s">
        <v>223</v>
      </c>
    </row>
    <row r="77" spans="1:11" x14ac:dyDescent="0.35">
      <c r="A77" s="59" t="s">
        <v>232</v>
      </c>
      <c r="B77" s="59" t="s">
        <v>176</v>
      </c>
      <c r="C77" s="59" t="s">
        <v>20</v>
      </c>
      <c r="D77" s="59" t="s">
        <v>269</v>
      </c>
      <c r="E77" s="60">
        <v>99.9</v>
      </c>
      <c r="F77" s="61" t="s">
        <v>217</v>
      </c>
      <c r="G77" s="62" t="s">
        <v>156</v>
      </c>
      <c r="H77" s="78"/>
      <c r="I77" s="63" t="s">
        <v>246</v>
      </c>
      <c r="J77" s="64">
        <v>46055</v>
      </c>
      <c r="K77" s="61" t="s">
        <v>175</v>
      </c>
    </row>
    <row r="78" spans="1:11" x14ac:dyDescent="0.35">
      <c r="A78" s="59" t="s">
        <v>232</v>
      </c>
      <c r="B78" s="59" t="s">
        <v>176</v>
      </c>
      <c r="C78" s="59" t="s">
        <v>13</v>
      </c>
      <c r="D78" s="59" t="s">
        <v>264</v>
      </c>
      <c r="E78" s="60">
        <v>55.9</v>
      </c>
      <c r="F78" s="61" t="s">
        <v>217</v>
      </c>
      <c r="G78" s="62" t="s">
        <v>2</v>
      </c>
      <c r="H78" s="78" t="s">
        <v>261</v>
      </c>
      <c r="I78" s="63" t="s">
        <v>246</v>
      </c>
      <c r="J78" s="64">
        <v>46058</v>
      </c>
      <c r="K78" s="61" t="s">
        <v>175</v>
      </c>
    </row>
    <row r="79" spans="1:11" x14ac:dyDescent="0.35">
      <c r="A79" s="59" t="s">
        <v>232</v>
      </c>
      <c r="B79" s="59" t="s">
        <v>176</v>
      </c>
      <c r="C79" s="59" t="s">
        <v>14</v>
      </c>
      <c r="D79" s="59" t="s">
        <v>265</v>
      </c>
      <c r="E79" s="60">
        <v>21.9</v>
      </c>
      <c r="F79" s="61" t="s">
        <v>217</v>
      </c>
      <c r="G79" s="62" t="s">
        <v>2</v>
      </c>
      <c r="H79" s="78" t="s">
        <v>261</v>
      </c>
      <c r="I79" s="63" t="s">
        <v>246</v>
      </c>
      <c r="J79" s="64">
        <v>46058</v>
      </c>
      <c r="K79" s="61" t="s">
        <v>175</v>
      </c>
    </row>
    <row r="80" spans="1:11" x14ac:dyDescent="0.35">
      <c r="A80" s="59" t="s">
        <v>209</v>
      </c>
      <c r="B80" s="59" t="s">
        <v>21</v>
      </c>
      <c r="C80" s="59" t="s">
        <v>22</v>
      </c>
      <c r="D80" s="59" t="s">
        <v>274</v>
      </c>
      <c r="E80" s="60">
        <v>890</v>
      </c>
      <c r="F80" s="61" t="s">
        <v>217</v>
      </c>
      <c r="G80" s="62" t="s">
        <v>2</v>
      </c>
      <c r="H80" s="78" t="s">
        <v>262</v>
      </c>
      <c r="I80" s="63" t="s">
        <v>246</v>
      </c>
      <c r="J80" s="64">
        <v>46058</v>
      </c>
      <c r="K80" s="61" t="s">
        <v>175</v>
      </c>
    </row>
    <row r="81" spans="1:11" x14ac:dyDescent="0.35">
      <c r="A81" s="59" t="s">
        <v>232</v>
      </c>
      <c r="B81" s="59" t="s">
        <v>36</v>
      </c>
      <c r="C81" s="59" t="s">
        <v>195</v>
      </c>
      <c r="D81" s="59" t="s">
        <v>275</v>
      </c>
      <c r="E81" s="60">
        <v>6700</v>
      </c>
      <c r="F81" s="61" t="s">
        <v>218</v>
      </c>
      <c r="G81" s="62" t="s">
        <v>6</v>
      </c>
      <c r="H81" s="78"/>
      <c r="I81" s="63" t="s">
        <v>246</v>
      </c>
      <c r="J81" s="64">
        <v>46058</v>
      </c>
      <c r="K81" s="61" t="s">
        <v>175</v>
      </c>
    </row>
    <row r="82" spans="1:11" x14ac:dyDescent="0.35">
      <c r="A82" s="59" t="s">
        <v>210</v>
      </c>
      <c r="B82" s="59" t="s">
        <v>176</v>
      </c>
      <c r="C82" s="59" t="s">
        <v>75</v>
      </c>
      <c r="D82" s="59" t="s">
        <v>266</v>
      </c>
      <c r="E82" s="60">
        <v>19.899999999999999</v>
      </c>
      <c r="F82" s="61" t="s">
        <v>217</v>
      </c>
      <c r="G82" s="62" t="s">
        <v>2</v>
      </c>
      <c r="H82" s="78" t="s">
        <v>261</v>
      </c>
      <c r="I82" s="63" t="s">
        <v>246</v>
      </c>
      <c r="J82" s="64">
        <v>46060</v>
      </c>
      <c r="K82" s="61" t="s">
        <v>175</v>
      </c>
    </row>
    <row r="83" spans="1:11" x14ac:dyDescent="0.35">
      <c r="A83" s="59" t="s">
        <v>232</v>
      </c>
      <c r="B83" s="59" t="s">
        <v>176</v>
      </c>
      <c r="C83" s="59" t="s">
        <v>85</v>
      </c>
      <c r="D83" s="59" t="s">
        <v>270</v>
      </c>
      <c r="E83" s="60">
        <v>79.900000000000006</v>
      </c>
      <c r="F83" s="61" t="s">
        <v>217</v>
      </c>
      <c r="G83" s="62" t="s">
        <v>156</v>
      </c>
      <c r="H83" s="78"/>
      <c r="I83" s="63" t="s">
        <v>246</v>
      </c>
      <c r="J83" s="64">
        <v>46060</v>
      </c>
      <c r="K83" s="61" t="s">
        <v>175</v>
      </c>
    </row>
    <row r="84" spans="1:11" x14ac:dyDescent="0.35">
      <c r="A84" s="59" t="s">
        <v>210</v>
      </c>
      <c r="B84" s="59" t="s">
        <v>176</v>
      </c>
      <c r="C84" s="59" t="s">
        <v>158</v>
      </c>
      <c r="D84" s="59" t="s">
        <v>267</v>
      </c>
      <c r="E84" s="60">
        <v>109</v>
      </c>
      <c r="F84" s="61" t="s">
        <v>217</v>
      </c>
      <c r="G84" s="62" t="s">
        <v>2</v>
      </c>
      <c r="H84" s="78" t="s">
        <v>263</v>
      </c>
      <c r="I84" s="63" t="s">
        <v>246</v>
      </c>
      <c r="J84" s="64">
        <v>46063</v>
      </c>
      <c r="K84" s="61" t="s">
        <v>175</v>
      </c>
    </row>
    <row r="85" spans="1:11" x14ac:dyDescent="0.35">
      <c r="A85" s="59" t="s">
        <v>209</v>
      </c>
      <c r="B85" s="59" t="s">
        <v>176</v>
      </c>
      <c r="C85" s="59" t="s">
        <v>159</v>
      </c>
      <c r="D85" s="59" t="s">
        <v>268</v>
      </c>
      <c r="E85" s="60">
        <v>99</v>
      </c>
      <c r="F85" s="61" t="s">
        <v>217</v>
      </c>
      <c r="G85" s="62" t="s">
        <v>2</v>
      </c>
      <c r="H85" s="78" t="s">
        <v>263</v>
      </c>
      <c r="I85" s="63" t="s">
        <v>246</v>
      </c>
      <c r="J85" s="64">
        <v>46063</v>
      </c>
      <c r="K85" s="61" t="s">
        <v>175</v>
      </c>
    </row>
    <row r="86" spans="1:11" x14ac:dyDescent="0.35">
      <c r="A86" s="59" t="s">
        <v>232</v>
      </c>
      <c r="B86" s="59" t="s">
        <v>29</v>
      </c>
      <c r="C86" s="59" t="s">
        <v>31</v>
      </c>
      <c r="D86" s="59" t="s">
        <v>272</v>
      </c>
      <c r="E86" s="60">
        <v>650</v>
      </c>
      <c r="F86" s="61" t="s">
        <v>217</v>
      </c>
      <c r="G86" s="62" t="s">
        <v>6</v>
      </c>
      <c r="H86" s="78"/>
      <c r="I86" s="63" t="s">
        <v>246</v>
      </c>
      <c r="J86" s="64">
        <v>46063</v>
      </c>
      <c r="K86" s="61" t="s">
        <v>175</v>
      </c>
    </row>
    <row r="87" spans="1:11" x14ac:dyDescent="0.35">
      <c r="A87" s="59" t="s">
        <v>260</v>
      </c>
      <c r="B87" s="59" t="s">
        <v>176</v>
      </c>
      <c r="C87" s="59" t="s">
        <v>16</v>
      </c>
      <c r="D87" s="59" t="s">
        <v>278</v>
      </c>
      <c r="E87" s="60">
        <v>27.9</v>
      </c>
      <c r="F87" s="61" t="s">
        <v>217</v>
      </c>
      <c r="G87" s="62" t="s">
        <v>2</v>
      </c>
      <c r="H87" s="78" t="s">
        <v>262</v>
      </c>
      <c r="I87" s="63" t="s">
        <v>246</v>
      </c>
      <c r="J87" s="64">
        <v>46068</v>
      </c>
      <c r="K87" s="61" t="s">
        <v>175</v>
      </c>
    </row>
    <row r="88" spans="1:11" x14ac:dyDescent="0.35">
      <c r="A88" s="59" t="s">
        <v>232</v>
      </c>
      <c r="B88" s="59" t="s">
        <v>29</v>
      </c>
      <c r="C88" s="59" t="s">
        <v>189</v>
      </c>
      <c r="D88" s="59" t="s">
        <v>273</v>
      </c>
      <c r="E88" s="60">
        <v>89.9</v>
      </c>
      <c r="F88" s="61" t="s">
        <v>217</v>
      </c>
      <c r="G88" s="62" t="s">
        <v>156</v>
      </c>
      <c r="H88" s="78"/>
      <c r="I88" s="63" t="s">
        <v>246</v>
      </c>
      <c r="J88" s="64">
        <v>46073</v>
      </c>
      <c r="K88" s="61" t="s">
        <v>175</v>
      </c>
    </row>
    <row r="89" spans="1:11" x14ac:dyDescent="0.35">
      <c r="A89" s="59" t="s">
        <v>232</v>
      </c>
      <c r="B89" s="59" t="s">
        <v>176</v>
      </c>
      <c r="C89" s="59" t="s">
        <v>20</v>
      </c>
      <c r="D89" s="59" t="s">
        <v>269</v>
      </c>
      <c r="E89" s="60">
        <v>99.9</v>
      </c>
      <c r="F89" s="61" t="s">
        <v>217</v>
      </c>
      <c r="G89" s="62" t="s">
        <v>156</v>
      </c>
      <c r="H89" s="78"/>
      <c r="I89" s="63" t="s">
        <v>246</v>
      </c>
      <c r="J89" s="64">
        <v>46083</v>
      </c>
      <c r="K89" s="61" t="s">
        <v>175</v>
      </c>
    </row>
    <row r="90" spans="1:11" x14ac:dyDescent="0.35">
      <c r="A90" s="59" t="s">
        <v>232</v>
      </c>
      <c r="B90" s="59" t="s">
        <v>176</v>
      </c>
      <c r="C90" s="59" t="s">
        <v>13</v>
      </c>
      <c r="D90" s="59" t="s">
        <v>264</v>
      </c>
      <c r="E90" s="60">
        <v>55.9</v>
      </c>
      <c r="F90" s="61" t="s">
        <v>217</v>
      </c>
      <c r="G90" s="62" t="s">
        <v>2</v>
      </c>
      <c r="H90" s="78" t="s">
        <v>261</v>
      </c>
      <c r="I90" s="63" t="s">
        <v>246</v>
      </c>
      <c r="J90" s="64">
        <v>46086</v>
      </c>
      <c r="K90" s="61" t="s">
        <v>175</v>
      </c>
    </row>
    <row r="91" spans="1:11" x14ac:dyDescent="0.35">
      <c r="A91" s="59" t="s">
        <v>232</v>
      </c>
      <c r="B91" s="59" t="s">
        <v>176</v>
      </c>
      <c r="C91" s="59" t="s">
        <v>14</v>
      </c>
      <c r="D91" s="59" t="s">
        <v>265</v>
      </c>
      <c r="E91" s="60">
        <v>21.9</v>
      </c>
      <c r="F91" s="61" t="s">
        <v>217</v>
      </c>
      <c r="G91" s="62" t="s">
        <v>2</v>
      </c>
      <c r="H91" s="78" t="s">
        <v>261</v>
      </c>
      <c r="I91" s="63" t="s">
        <v>246</v>
      </c>
      <c r="J91" s="64">
        <v>46086</v>
      </c>
      <c r="K91" s="61" t="s">
        <v>175</v>
      </c>
    </row>
    <row r="92" spans="1:11" x14ac:dyDescent="0.35">
      <c r="A92" s="59" t="s">
        <v>209</v>
      </c>
      <c r="B92" s="59" t="s">
        <v>21</v>
      </c>
      <c r="C92" s="59" t="s">
        <v>22</v>
      </c>
      <c r="D92" s="59" t="s">
        <v>274</v>
      </c>
      <c r="E92" s="60">
        <v>890</v>
      </c>
      <c r="F92" s="61" t="s">
        <v>217</v>
      </c>
      <c r="G92" s="62" t="s">
        <v>2</v>
      </c>
      <c r="H92" s="78" t="s">
        <v>262</v>
      </c>
      <c r="I92" s="63" t="s">
        <v>246</v>
      </c>
      <c r="J92" s="64">
        <v>46086</v>
      </c>
      <c r="K92" s="61" t="s">
        <v>175</v>
      </c>
    </row>
    <row r="93" spans="1:11" x14ac:dyDescent="0.35">
      <c r="A93" s="59" t="s">
        <v>232</v>
      </c>
      <c r="B93" s="59" t="s">
        <v>36</v>
      </c>
      <c r="C93" s="59" t="s">
        <v>195</v>
      </c>
      <c r="D93" s="59" t="s">
        <v>275</v>
      </c>
      <c r="E93" s="60">
        <v>6700</v>
      </c>
      <c r="F93" s="61" t="s">
        <v>218</v>
      </c>
      <c r="G93" s="62" t="s">
        <v>6</v>
      </c>
      <c r="H93" s="78"/>
      <c r="I93" s="63" t="s">
        <v>246</v>
      </c>
      <c r="J93" s="64">
        <v>46086</v>
      </c>
      <c r="K93" s="61" t="s">
        <v>175</v>
      </c>
    </row>
    <row r="94" spans="1:11" x14ac:dyDescent="0.35">
      <c r="A94" s="59" t="s">
        <v>210</v>
      </c>
      <c r="B94" s="59" t="s">
        <v>176</v>
      </c>
      <c r="C94" s="59" t="s">
        <v>75</v>
      </c>
      <c r="D94" s="59" t="s">
        <v>266</v>
      </c>
      <c r="E94" s="60">
        <v>19.899999999999999</v>
      </c>
      <c r="F94" s="61" t="s">
        <v>217</v>
      </c>
      <c r="G94" s="62" t="s">
        <v>2</v>
      </c>
      <c r="H94" s="78" t="s">
        <v>261</v>
      </c>
      <c r="I94" s="63" t="s">
        <v>246</v>
      </c>
      <c r="J94" s="64">
        <v>46088</v>
      </c>
      <c r="K94" s="61" t="s">
        <v>175</v>
      </c>
    </row>
    <row r="95" spans="1:11" x14ac:dyDescent="0.35">
      <c r="A95" s="59" t="s">
        <v>232</v>
      </c>
      <c r="B95" s="59" t="s">
        <v>176</v>
      </c>
      <c r="C95" s="59" t="s">
        <v>85</v>
      </c>
      <c r="D95" s="59" t="s">
        <v>270</v>
      </c>
      <c r="E95" s="60">
        <v>79.900000000000006</v>
      </c>
      <c r="F95" s="61" t="s">
        <v>217</v>
      </c>
      <c r="G95" s="62" t="s">
        <v>156</v>
      </c>
      <c r="H95" s="78"/>
      <c r="I95" s="63" t="s">
        <v>246</v>
      </c>
      <c r="J95" s="64">
        <v>46088</v>
      </c>
      <c r="K95" s="61" t="s">
        <v>175</v>
      </c>
    </row>
    <row r="96" spans="1:11" x14ac:dyDescent="0.35">
      <c r="A96" s="59" t="s">
        <v>210</v>
      </c>
      <c r="B96" s="59" t="s">
        <v>176</v>
      </c>
      <c r="C96" s="59" t="s">
        <v>158</v>
      </c>
      <c r="D96" s="59" t="s">
        <v>267</v>
      </c>
      <c r="E96" s="60">
        <v>109</v>
      </c>
      <c r="F96" s="61" t="s">
        <v>217</v>
      </c>
      <c r="G96" s="62" t="s">
        <v>2</v>
      </c>
      <c r="H96" s="78" t="s">
        <v>263</v>
      </c>
      <c r="I96" s="63" t="s">
        <v>246</v>
      </c>
      <c r="J96" s="64">
        <v>46091</v>
      </c>
      <c r="K96" s="61" t="s">
        <v>175</v>
      </c>
    </row>
    <row r="97" spans="1:11" x14ac:dyDescent="0.35">
      <c r="A97" s="59" t="s">
        <v>209</v>
      </c>
      <c r="B97" s="59" t="s">
        <v>176</v>
      </c>
      <c r="C97" s="59" t="s">
        <v>159</v>
      </c>
      <c r="D97" s="59" t="s">
        <v>268</v>
      </c>
      <c r="E97" s="60">
        <v>99</v>
      </c>
      <c r="F97" s="61" t="s">
        <v>217</v>
      </c>
      <c r="G97" s="62" t="s">
        <v>2</v>
      </c>
      <c r="H97" s="78" t="s">
        <v>263</v>
      </c>
      <c r="I97" s="63" t="s">
        <v>246</v>
      </c>
      <c r="J97" s="64">
        <v>46091</v>
      </c>
      <c r="K97" s="61" t="s">
        <v>175</v>
      </c>
    </row>
    <row r="98" spans="1:11" x14ac:dyDescent="0.35">
      <c r="A98" s="59" t="s">
        <v>232</v>
      </c>
      <c r="B98" s="59" t="s">
        <v>29</v>
      </c>
      <c r="C98" s="59" t="s">
        <v>31</v>
      </c>
      <c r="D98" s="59" t="s">
        <v>272</v>
      </c>
      <c r="E98" s="60">
        <v>650</v>
      </c>
      <c r="F98" s="61" t="s">
        <v>217</v>
      </c>
      <c r="G98" s="62" t="s">
        <v>6</v>
      </c>
      <c r="H98" s="78"/>
      <c r="I98" s="63" t="s">
        <v>246</v>
      </c>
      <c r="J98" s="64">
        <v>46091</v>
      </c>
      <c r="K98" s="61" t="s">
        <v>175</v>
      </c>
    </row>
    <row r="99" spans="1:11" x14ac:dyDescent="0.35">
      <c r="A99" s="59" t="s">
        <v>260</v>
      </c>
      <c r="B99" s="59" t="s">
        <v>176</v>
      </c>
      <c r="C99" s="59" t="s">
        <v>16</v>
      </c>
      <c r="D99" s="59" t="s">
        <v>271</v>
      </c>
      <c r="E99" s="60">
        <v>27.9</v>
      </c>
      <c r="F99" s="61" t="s">
        <v>217</v>
      </c>
      <c r="G99" s="62" t="s">
        <v>2</v>
      </c>
      <c r="H99" s="78" t="s">
        <v>262</v>
      </c>
      <c r="I99" s="63" t="s">
        <v>246</v>
      </c>
      <c r="J99" s="64">
        <v>46096</v>
      </c>
      <c r="K99" s="61" t="s">
        <v>175</v>
      </c>
    </row>
    <row r="100" spans="1:11" x14ac:dyDescent="0.35">
      <c r="A100" s="59" t="s">
        <v>232</v>
      </c>
      <c r="B100" s="59" t="s">
        <v>29</v>
      </c>
      <c r="C100" s="59" t="s">
        <v>189</v>
      </c>
      <c r="D100" s="59" t="s">
        <v>273</v>
      </c>
      <c r="E100" s="60">
        <v>89.9</v>
      </c>
      <c r="F100" s="61" t="s">
        <v>217</v>
      </c>
      <c r="G100" s="62" t="s">
        <v>156</v>
      </c>
      <c r="H100" s="78"/>
      <c r="I100" s="63" t="s">
        <v>246</v>
      </c>
      <c r="J100" s="64">
        <v>46101</v>
      </c>
      <c r="K100" s="61" t="s">
        <v>175</v>
      </c>
    </row>
    <row r="101" spans="1:11" x14ac:dyDescent="0.35">
      <c r="A101" s="59" t="s">
        <v>232</v>
      </c>
      <c r="B101" s="59" t="s">
        <v>176</v>
      </c>
      <c r="C101" s="59" t="s">
        <v>20</v>
      </c>
      <c r="D101" s="59" t="s">
        <v>269</v>
      </c>
      <c r="E101" s="60">
        <v>99.9</v>
      </c>
      <c r="F101" s="61" t="s">
        <v>217</v>
      </c>
      <c r="G101" s="62" t="s">
        <v>156</v>
      </c>
      <c r="H101" s="78"/>
      <c r="I101" s="63" t="s">
        <v>246</v>
      </c>
      <c r="J101" s="64">
        <v>46114</v>
      </c>
      <c r="K101" s="61" t="s">
        <v>175</v>
      </c>
    </row>
    <row r="102" spans="1:11" x14ac:dyDescent="0.35">
      <c r="A102" s="59" t="s">
        <v>232</v>
      </c>
      <c r="B102" s="59" t="s">
        <v>176</v>
      </c>
      <c r="C102" s="59" t="s">
        <v>13</v>
      </c>
      <c r="D102" s="59" t="s">
        <v>264</v>
      </c>
      <c r="E102" s="60">
        <v>55.9</v>
      </c>
      <c r="F102" s="61" t="s">
        <v>217</v>
      </c>
      <c r="G102" s="62" t="s">
        <v>2</v>
      </c>
      <c r="H102" s="78" t="s">
        <v>261</v>
      </c>
      <c r="I102" s="63" t="s">
        <v>246</v>
      </c>
      <c r="J102" s="64">
        <v>46117</v>
      </c>
      <c r="K102" s="61" t="s">
        <v>175</v>
      </c>
    </row>
    <row r="103" spans="1:11" x14ac:dyDescent="0.35">
      <c r="A103" s="59" t="s">
        <v>232</v>
      </c>
      <c r="B103" s="59" t="s">
        <v>176</v>
      </c>
      <c r="C103" s="59" t="s">
        <v>14</v>
      </c>
      <c r="D103" s="59" t="s">
        <v>265</v>
      </c>
      <c r="E103" s="60">
        <v>21.9</v>
      </c>
      <c r="F103" s="61" t="s">
        <v>217</v>
      </c>
      <c r="G103" s="62" t="s">
        <v>2</v>
      </c>
      <c r="H103" s="78" t="s">
        <v>261</v>
      </c>
      <c r="I103" s="63" t="s">
        <v>246</v>
      </c>
      <c r="J103" s="64">
        <v>46117</v>
      </c>
      <c r="K103" s="61" t="s">
        <v>175</v>
      </c>
    </row>
    <row r="104" spans="1:11" x14ac:dyDescent="0.35">
      <c r="A104" s="59" t="s">
        <v>209</v>
      </c>
      <c r="B104" s="59" t="s">
        <v>21</v>
      </c>
      <c r="C104" s="59" t="s">
        <v>22</v>
      </c>
      <c r="D104" s="59" t="s">
        <v>274</v>
      </c>
      <c r="E104" s="60">
        <v>890</v>
      </c>
      <c r="F104" s="61" t="s">
        <v>217</v>
      </c>
      <c r="G104" s="62" t="s">
        <v>2</v>
      </c>
      <c r="H104" s="78" t="s">
        <v>262</v>
      </c>
      <c r="I104" s="63" t="s">
        <v>246</v>
      </c>
      <c r="J104" s="64">
        <v>46117</v>
      </c>
      <c r="K104" s="61" t="s">
        <v>175</v>
      </c>
    </row>
    <row r="105" spans="1:11" x14ac:dyDescent="0.35">
      <c r="A105" s="59" t="s">
        <v>232</v>
      </c>
      <c r="B105" s="59" t="s">
        <v>36</v>
      </c>
      <c r="C105" s="59" t="s">
        <v>195</v>
      </c>
      <c r="D105" s="59" t="s">
        <v>275</v>
      </c>
      <c r="E105" s="60">
        <v>7200</v>
      </c>
      <c r="F105" s="61" t="s">
        <v>218</v>
      </c>
      <c r="G105" s="62" t="s">
        <v>6</v>
      </c>
      <c r="H105" s="78"/>
      <c r="I105" s="63" t="s">
        <v>246</v>
      </c>
      <c r="J105" s="64">
        <v>46117</v>
      </c>
      <c r="K105" s="61" t="s">
        <v>175</v>
      </c>
    </row>
    <row r="106" spans="1:11" x14ac:dyDescent="0.35">
      <c r="A106" s="59" t="s">
        <v>210</v>
      </c>
      <c r="B106" s="59" t="s">
        <v>176</v>
      </c>
      <c r="C106" s="59" t="s">
        <v>75</v>
      </c>
      <c r="D106" s="59" t="s">
        <v>266</v>
      </c>
      <c r="E106" s="60">
        <v>19.899999999999999</v>
      </c>
      <c r="F106" s="61" t="s">
        <v>217</v>
      </c>
      <c r="G106" s="62" t="s">
        <v>2</v>
      </c>
      <c r="H106" s="78" t="s">
        <v>261</v>
      </c>
      <c r="I106" s="63" t="s">
        <v>246</v>
      </c>
      <c r="J106" s="64">
        <v>46119</v>
      </c>
      <c r="K106" s="61" t="s">
        <v>175</v>
      </c>
    </row>
    <row r="107" spans="1:11" x14ac:dyDescent="0.35">
      <c r="A107" s="59" t="s">
        <v>232</v>
      </c>
      <c r="B107" s="59" t="s">
        <v>176</v>
      </c>
      <c r="C107" s="59" t="s">
        <v>85</v>
      </c>
      <c r="D107" s="59" t="s">
        <v>270</v>
      </c>
      <c r="E107" s="60">
        <v>79.900000000000006</v>
      </c>
      <c r="F107" s="61" t="s">
        <v>217</v>
      </c>
      <c r="G107" s="62" t="s">
        <v>156</v>
      </c>
      <c r="H107" s="78"/>
      <c r="I107" s="63" t="s">
        <v>246</v>
      </c>
      <c r="J107" s="64">
        <v>46119</v>
      </c>
      <c r="K107" s="61" t="s">
        <v>175</v>
      </c>
    </row>
    <row r="108" spans="1:11" x14ac:dyDescent="0.35">
      <c r="A108" s="59" t="s">
        <v>210</v>
      </c>
      <c r="B108" s="59" t="s">
        <v>176</v>
      </c>
      <c r="C108" s="59" t="s">
        <v>158</v>
      </c>
      <c r="D108" s="59" t="s">
        <v>267</v>
      </c>
      <c r="E108" s="60">
        <v>109</v>
      </c>
      <c r="F108" s="61" t="s">
        <v>217</v>
      </c>
      <c r="G108" s="62" t="s">
        <v>2</v>
      </c>
      <c r="H108" s="78" t="s">
        <v>263</v>
      </c>
      <c r="I108" s="63" t="s">
        <v>246</v>
      </c>
      <c r="J108" s="64">
        <v>46122</v>
      </c>
      <c r="K108" s="61" t="s">
        <v>175</v>
      </c>
    </row>
    <row r="109" spans="1:11" x14ac:dyDescent="0.35">
      <c r="A109" s="59" t="s">
        <v>209</v>
      </c>
      <c r="B109" s="59" t="s">
        <v>176</v>
      </c>
      <c r="C109" s="59" t="s">
        <v>159</v>
      </c>
      <c r="D109" s="59" t="s">
        <v>268</v>
      </c>
      <c r="E109" s="60">
        <v>99</v>
      </c>
      <c r="F109" s="61" t="s">
        <v>217</v>
      </c>
      <c r="G109" s="62" t="s">
        <v>2</v>
      </c>
      <c r="H109" s="78" t="s">
        <v>263</v>
      </c>
      <c r="I109" s="63" t="s">
        <v>246</v>
      </c>
      <c r="J109" s="64">
        <v>46122</v>
      </c>
      <c r="K109" s="61" t="s">
        <v>175</v>
      </c>
    </row>
    <row r="110" spans="1:11" x14ac:dyDescent="0.35">
      <c r="A110" s="59" t="s">
        <v>232</v>
      </c>
      <c r="B110" s="59" t="s">
        <v>29</v>
      </c>
      <c r="C110" s="59" t="s">
        <v>31</v>
      </c>
      <c r="D110" s="59" t="s">
        <v>272</v>
      </c>
      <c r="E110" s="60">
        <v>650</v>
      </c>
      <c r="F110" s="61" t="s">
        <v>217</v>
      </c>
      <c r="G110" s="62" t="s">
        <v>6</v>
      </c>
      <c r="H110" s="78"/>
      <c r="I110" s="63" t="s">
        <v>246</v>
      </c>
      <c r="J110" s="64">
        <v>46122</v>
      </c>
      <c r="K110" s="61" t="s">
        <v>175</v>
      </c>
    </row>
    <row r="111" spans="1:11" x14ac:dyDescent="0.35">
      <c r="A111" s="59" t="s">
        <v>260</v>
      </c>
      <c r="B111" s="59" t="s">
        <v>176</v>
      </c>
      <c r="C111" s="59" t="s">
        <v>16</v>
      </c>
      <c r="D111" s="59" t="s">
        <v>271</v>
      </c>
      <c r="E111" s="60">
        <v>27.9</v>
      </c>
      <c r="F111" s="61" t="s">
        <v>217</v>
      </c>
      <c r="G111" s="62" t="s">
        <v>2</v>
      </c>
      <c r="H111" s="78" t="s">
        <v>262</v>
      </c>
      <c r="I111" s="63" t="s">
        <v>246</v>
      </c>
      <c r="J111" s="64">
        <v>46127</v>
      </c>
      <c r="K111" s="61" t="s">
        <v>175</v>
      </c>
    </row>
    <row r="112" spans="1:11" x14ac:dyDescent="0.35">
      <c r="A112" s="59" t="s">
        <v>232</v>
      </c>
      <c r="B112" s="59" t="s">
        <v>29</v>
      </c>
      <c r="C112" s="59" t="s">
        <v>189</v>
      </c>
      <c r="D112" s="59" t="s">
        <v>273</v>
      </c>
      <c r="E112" s="60">
        <v>89.9</v>
      </c>
      <c r="F112" s="61" t="s">
        <v>217</v>
      </c>
      <c r="G112" s="62" t="s">
        <v>156</v>
      </c>
      <c r="H112" s="78"/>
      <c r="I112" s="63" t="s">
        <v>246</v>
      </c>
      <c r="J112" s="64">
        <v>46132</v>
      </c>
      <c r="K112" s="61" t="s">
        <v>175</v>
      </c>
    </row>
    <row r="113" spans="1:11" x14ac:dyDescent="0.35">
      <c r="A113" s="59" t="s">
        <v>232</v>
      </c>
      <c r="B113" s="59" t="s">
        <v>176</v>
      </c>
      <c r="C113" s="59" t="s">
        <v>20</v>
      </c>
      <c r="D113" s="59" t="s">
        <v>269</v>
      </c>
      <c r="E113" s="60">
        <v>99.9</v>
      </c>
      <c r="F113" s="61" t="s">
        <v>217</v>
      </c>
      <c r="G113" s="62" t="s">
        <v>156</v>
      </c>
      <c r="H113" s="78"/>
      <c r="I113" s="63" t="s">
        <v>246</v>
      </c>
      <c r="J113" s="64">
        <v>46144</v>
      </c>
      <c r="K113" s="61" t="s">
        <v>175</v>
      </c>
    </row>
    <row r="114" spans="1:11" x14ac:dyDescent="0.35">
      <c r="A114" s="59" t="s">
        <v>232</v>
      </c>
      <c r="B114" s="59" t="s">
        <v>176</v>
      </c>
      <c r="C114" s="59" t="s">
        <v>13</v>
      </c>
      <c r="D114" s="59" t="s">
        <v>264</v>
      </c>
      <c r="E114" s="60">
        <v>55.9</v>
      </c>
      <c r="F114" s="61" t="s">
        <v>217</v>
      </c>
      <c r="G114" s="62" t="s">
        <v>2</v>
      </c>
      <c r="H114" s="78" t="s">
        <v>261</v>
      </c>
      <c r="I114" s="63" t="s">
        <v>246</v>
      </c>
      <c r="J114" s="64">
        <v>46147</v>
      </c>
      <c r="K114" s="61" t="s">
        <v>175</v>
      </c>
    </row>
    <row r="115" spans="1:11" x14ac:dyDescent="0.35">
      <c r="A115" s="59" t="s">
        <v>232</v>
      </c>
      <c r="B115" s="59" t="s">
        <v>176</v>
      </c>
      <c r="C115" s="59" t="s">
        <v>14</v>
      </c>
      <c r="D115" s="59" t="s">
        <v>265</v>
      </c>
      <c r="E115" s="60">
        <v>21.9</v>
      </c>
      <c r="F115" s="61" t="s">
        <v>217</v>
      </c>
      <c r="G115" s="62" t="s">
        <v>2</v>
      </c>
      <c r="H115" s="78" t="s">
        <v>261</v>
      </c>
      <c r="I115" s="63" t="s">
        <v>246</v>
      </c>
      <c r="J115" s="64">
        <v>46147</v>
      </c>
      <c r="K115" s="61" t="s">
        <v>175</v>
      </c>
    </row>
    <row r="116" spans="1:11" x14ac:dyDescent="0.35">
      <c r="A116" s="59" t="s">
        <v>209</v>
      </c>
      <c r="B116" s="59" t="s">
        <v>21</v>
      </c>
      <c r="C116" s="59" t="s">
        <v>22</v>
      </c>
      <c r="D116" s="59" t="s">
        <v>274</v>
      </c>
      <c r="E116" s="60">
        <v>890</v>
      </c>
      <c r="F116" s="61" t="s">
        <v>217</v>
      </c>
      <c r="G116" s="62" t="s">
        <v>2</v>
      </c>
      <c r="H116" s="78" t="s">
        <v>262</v>
      </c>
      <c r="I116" s="63" t="s">
        <v>246</v>
      </c>
      <c r="J116" s="64">
        <v>46147</v>
      </c>
      <c r="K116" s="61" t="s">
        <v>175</v>
      </c>
    </row>
    <row r="117" spans="1:11" x14ac:dyDescent="0.35">
      <c r="A117" s="59" t="s">
        <v>232</v>
      </c>
      <c r="B117" s="59" t="s">
        <v>36</v>
      </c>
      <c r="C117" s="59" t="s">
        <v>195</v>
      </c>
      <c r="D117" s="59" t="s">
        <v>275</v>
      </c>
      <c r="E117" s="60">
        <v>7200</v>
      </c>
      <c r="F117" s="61" t="s">
        <v>218</v>
      </c>
      <c r="G117" s="62" t="s">
        <v>6</v>
      </c>
      <c r="H117" s="78"/>
      <c r="I117" s="63" t="s">
        <v>246</v>
      </c>
      <c r="J117" s="64">
        <v>46147</v>
      </c>
      <c r="K117" s="61" t="s">
        <v>175</v>
      </c>
    </row>
    <row r="118" spans="1:11" x14ac:dyDescent="0.35">
      <c r="A118" s="59" t="s">
        <v>210</v>
      </c>
      <c r="B118" s="59" t="s">
        <v>176</v>
      </c>
      <c r="C118" s="59" t="s">
        <v>75</v>
      </c>
      <c r="D118" s="59" t="s">
        <v>266</v>
      </c>
      <c r="E118" s="60">
        <v>19.899999999999999</v>
      </c>
      <c r="F118" s="61" t="s">
        <v>217</v>
      </c>
      <c r="G118" s="62" t="s">
        <v>2</v>
      </c>
      <c r="H118" s="78" t="s">
        <v>261</v>
      </c>
      <c r="I118" s="63" t="s">
        <v>246</v>
      </c>
      <c r="J118" s="64">
        <v>46149</v>
      </c>
      <c r="K118" s="61" t="s">
        <v>175</v>
      </c>
    </row>
    <row r="119" spans="1:11" x14ac:dyDescent="0.35">
      <c r="A119" s="59" t="s">
        <v>232</v>
      </c>
      <c r="B119" s="59" t="s">
        <v>176</v>
      </c>
      <c r="C119" s="59" t="s">
        <v>85</v>
      </c>
      <c r="D119" s="59" t="s">
        <v>270</v>
      </c>
      <c r="E119" s="60">
        <v>79.900000000000006</v>
      </c>
      <c r="F119" s="61" t="s">
        <v>217</v>
      </c>
      <c r="G119" s="62" t="s">
        <v>156</v>
      </c>
      <c r="H119" s="78"/>
      <c r="I119" s="63" t="s">
        <v>246</v>
      </c>
      <c r="J119" s="64">
        <v>46149</v>
      </c>
      <c r="K119" s="61" t="s">
        <v>175</v>
      </c>
    </row>
    <row r="120" spans="1:11" x14ac:dyDescent="0.35">
      <c r="A120" s="59" t="s">
        <v>210</v>
      </c>
      <c r="B120" s="59" t="s">
        <v>176</v>
      </c>
      <c r="C120" s="59" t="s">
        <v>158</v>
      </c>
      <c r="D120" s="59" t="s">
        <v>267</v>
      </c>
      <c r="E120" s="60">
        <v>109</v>
      </c>
      <c r="F120" s="61" t="s">
        <v>217</v>
      </c>
      <c r="G120" s="62" t="s">
        <v>2</v>
      </c>
      <c r="H120" s="78" t="s">
        <v>263</v>
      </c>
      <c r="I120" s="63" t="s">
        <v>246</v>
      </c>
      <c r="J120" s="64">
        <v>46152</v>
      </c>
      <c r="K120" s="61" t="s">
        <v>223</v>
      </c>
    </row>
    <row r="121" spans="1:11" x14ac:dyDescent="0.35">
      <c r="A121" s="59" t="s">
        <v>209</v>
      </c>
      <c r="B121" s="59" t="s">
        <v>176</v>
      </c>
      <c r="C121" s="59" t="s">
        <v>159</v>
      </c>
      <c r="D121" s="59" t="s">
        <v>268</v>
      </c>
      <c r="E121" s="60">
        <v>99</v>
      </c>
      <c r="F121" s="61" t="s">
        <v>217</v>
      </c>
      <c r="G121" s="62" t="s">
        <v>2</v>
      </c>
      <c r="H121" s="78" t="s">
        <v>263</v>
      </c>
      <c r="I121" s="63" t="s">
        <v>246</v>
      </c>
      <c r="J121" s="64">
        <v>46152</v>
      </c>
      <c r="K121" s="61" t="s">
        <v>223</v>
      </c>
    </row>
    <row r="122" spans="1:11" x14ac:dyDescent="0.35">
      <c r="A122" s="59" t="s">
        <v>232</v>
      </c>
      <c r="B122" s="59" t="s">
        <v>29</v>
      </c>
      <c r="C122" s="59" t="s">
        <v>31</v>
      </c>
      <c r="D122" s="59" t="s">
        <v>272</v>
      </c>
      <c r="E122" s="60">
        <v>650</v>
      </c>
      <c r="F122" s="61" t="s">
        <v>217</v>
      </c>
      <c r="G122" s="62" t="s">
        <v>6</v>
      </c>
      <c r="H122" s="78"/>
      <c r="I122" s="63" t="s">
        <v>246</v>
      </c>
      <c r="J122" s="64">
        <v>46152</v>
      </c>
      <c r="K122" s="61" t="s">
        <v>175</v>
      </c>
    </row>
    <row r="123" spans="1:11" x14ac:dyDescent="0.35">
      <c r="A123" s="59" t="s">
        <v>260</v>
      </c>
      <c r="B123" s="59" t="s">
        <v>176</v>
      </c>
      <c r="C123" s="59" t="s">
        <v>16</v>
      </c>
      <c r="D123" s="59" t="s">
        <v>271</v>
      </c>
      <c r="E123" s="60">
        <v>27.9</v>
      </c>
      <c r="F123" s="61" t="s">
        <v>217</v>
      </c>
      <c r="G123" s="62" t="s">
        <v>2</v>
      </c>
      <c r="H123" s="78" t="s">
        <v>262</v>
      </c>
      <c r="I123" s="63" t="s">
        <v>246</v>
      </c>
      <c r="J123" s="64">
        <v>46157</v>
      </c>
      <c r="K123" s="61" t="s">
        <v>223</v>
      </c>
    </row>
    <row r="124" spans="1:11" x14ac:dyDescent="0.35">
      <c r="A124" s="59" t="s">
        <v>232</v>
      </c>
      <c r="B124" s="59" t="s">
        <v>29</v>
      </c>
      <c r="C124" s="59" t="s">
        <v>189</v>
      </c>
      <c r="D124" s="59" t="s">
        <v>273</v>
      </c>
      <c r="E124" s="60">
        <v>89.9</v>
      </c>
      <c r="F124" s="61" t="s">
        <v>217</v>
      </c>
      <c r="G124" s="62" t="s">
        <v>156</v>
      </c>
      <c r="H124" s="78"/>
      <c r="I124" s="63" t="s">
        <v>246</v>
      </c>
      <c r="J124" s="64">
        <v>46162</v>
      </c>
      <c r="K124" s="61" t="s">
        <v>208</v>
      </c>
    </row>
  </sheetData>
  <mergeCells count="1">
    <mergeCell ref="A1:K1"/>
  </mergeCells>
  <phoneticPr fontId="2" type="noConversion"/>
  <conditionalFormatting sqref="E3:E1048576">
    <cfRule type="containsText" dxfId="90" priority="51" operator="containsText" text="EVENTUAL">
      <formula>NOT(ISERROR(SEARCH("EVENTUAL",E3)))</formula>
    </cfRule>
    <cfRule type="containsText" dxfId="89" priority="52" operator="containsText" text="FIXO">
      <formula>NOT(ISERROR(SEARCH("FIXO",E3)))</formula>
    </cfRule>
  </conditionalFormatting>
  <conditionalFormatting sqref="H3:H124">
    <cfRule type="expression" dxfId="88" priority="54">
      <formula>$G3&lt;&gt;"CARTAO CREDITO"</formula>
    </cfRule>
  </conditionalFormatting>
  <conditionalFormatting sqref="K3:K124">
    <cfRule type="containsText" dxfId="87" priority="49" operator="containsText" text="PENDENTE">
      <formula>NOT(ISERROR(SEARCH("PENDENTE",K3)))</formula>
    </cfRule>
    <cfRule type="containsText" dxfId="86" priority="50" operator="containsText" text="EMITIDO">
      <formula>NOT(ISERROR(SEARCH("EMITIDO",K3)))</formula>
    </cfRule>
    <cfRule type="containsText" dxfId="85" priority="53" operator="containsText" text="ATRASADO">
      <formula>NOT(ISERROR(SEARCH("ATRASADO",K3)))</formula>
    </cfRule>
  </conditionalFormatting>
  <conditionalFormatting sqref="K3:K124">
    <cfRule type="containsText" dxfId="84" priority="1" operator="containsText" text="REEMBOLSO">
      <formula>NOT(ISERROR(SEARCH("REEMBOLSO",K3)))</formula>
    </cfRule>
    <cfRule type="containsText" dxfId="83" priority="48" operator="containsText" text="PAGO">
      <formula>NOT(ISERROR(SEARCH("PAGO",K3)))</formula>
    </cfRule>
  </conditionalFormatting>
  <conditionalFormatting sqref="F3:F124">
    <cfRule type="containsText" dxfId="82" priority="2" operator="containsText" text="ENTRADA">
      <formula>NOT(ISERROR(SEARCH("ENTRADA",F3)))</formula>
    </cfRule>
    <cfRule type="containsText" dxfId="81" priority="3" operator="containsText" text="SAIDA">
      <formula>NOT(ISERROR(SEARCH("SAIDA",F3)))</formula>
    </cfRule>
    <cfRule type="containsText" dxfId="80" priority="4" operator="containsText" text="COBRANCA">
      <formula>NOT(ISERROR(SEARCH("COBRANCA",F3)))</formula>
    </cfRule>
  </conditionalFormatting>
  <conditionalFormatting sqref="B3:B124">
    <cfRule type="expression" dxfId="79" priority="55" stopIfTrue="1">
      <formula>B3="ALIMENTACAO"</formula>
    </cfRule>
    <cfRule type="expression" dxfId="78" priority="57" stopIfTrue="1">
      <formula>B3="ASSINATURA"</formula>
    </cfRule>
    <cfRule type="expression" dxfId="77" priority="59" stopIfTrue="1">
      <formula>B3="BELEZA_PESSOAL"</formula>
    </cfRule>
    <cfRule type="expression" dxfId="76" priority="61" stopIfTrue="1">
      <formula>B3="EDUCACAO"</formula>
    </cfRule>
    <cfRule type="expression" dxfId="75" priority="63" stopIfTrue="1">
      <formula>B3="FINANCEIRO"</formula>
    </cfRule>
    <cfRule type="expression" dxfId="74" priority="65" stopIfTrue="1">
      <formula>B3="LAZER"</formula>
    </cfRule>
    <cfRule type="expression" dxfId="73" priority="67" stopIfTrue="1">
      <formula>B3="MORADIA"</formula>
    </cfRule>
    <cfRule type="expression" dxfId="72" priority="69" stopIfTrue="1">
      <formula>B3="OUTROS"</formula>
    </cfRule>
    <cfRule type="expression" dxfId="71" priority="71" stopIfTrue="1">
      <formula>B3="PETS"</formula>
    </cfRule>
    <cfRule type="expression" dxfId="70" priority="73" stopIfTrue="1">
      <formula>B3="RECEITA"</formula>
    </cfRule>
    <cfRule type="expression" dxfId="69" priority="75" stopIfTrue="1">
      <formula>B3="SAUDE"</formula>
    </cfRule>
    <cfRule type="expression" dxfId="68" priority="77" stopIfTrue="1">
      <formula>B3="SHOPPING"</formula>
    </cfRule>
    <cfRule type="expression" dxfId="67" priority="79" stopIfTrue="1">
      <formula>B3="TRANSPORTE"</formula>
    </cfRule>
  </conditionalFormatting>
  <conditionalFormatting sqref="C3:C124">
    <cfRule type="expression" dxfId="66" priority="56" stopIfTrue="1">
      <formula>B3="ALIMENTACAO"</formula>
    </cfRule>
    <cfRule type="expression" dxfId="65" priority="58" stopIfTrue="1">
      <formula>B3="ASSINATURA"</formula>
    </cfRule>
    <cfRule type="expression" dxfId="64" priority="60" stopIfTrue="1">
      <formula>B3="BELEZA_PESSOAL"</formula>
    </cfRule>
    <cfRule type="expression" dxfId="63" priority="62" stopIfTrue="1">
      <formula>B3="EDUCACAO"</formula>
    </cfRule>
    <cfRule type="expression" dxfId="62" priority="64" stopIfTrue="1">
      <formula>B3="FINANCEIRO"</formula>
    </cfRule>
    <cfRule type="expression" dxfId="61" priority="66" stopIfTrue="1">
      <formula>B3="LAZER"</formula>
    </cfRule>
    <cfRule type="expression" dxfId="60" priority="68" stopIfTrue="1">
      <formula>B3="MORADIA"</formula>
    </cfRule>
    <cfRule type="expression" dxfId="59" priority="70" stopIfTrue="1">
      <formula>B3="OUTROS"</formula>
    </cfRule>
    <cfRule type="expression" dxfId="58" priority="72" stopIfTrue="1">
      <formula>B3="PETS"</formula>
    </cfRule>
    <cfRule type="expression" dxfId="57" priority="74" stopIfTrue="1">
      <formula>B3="RECEITA"</formula>
    </cfRule>
    <cfRule type="expression" dxfId="56" priority="76" stopIfTrue="1">
      <formula>B3="SAUDE"</formula>
    </cfRule>
    <cfRule type="expression" dxfId="55" priority="78" stopIfTrue="1">
      <formula>B3="SHOPPING"</formula>
    </cfRule>
    <cfRule type="expression" dxfId="54" priority="80" stopIfTrue="1">
      <formula>B3="TRANSPORTE"</formula>
    </cfRule>
  </conditionalFormatting>
  <dataValidations count="10">
    <dataValidation type="decimal" operator="greaterThanOrEqual" showInputMessage="1" errorTitle="Valor Inválido" error="Veja as regras no comentário do cabeçalho desta coluna" sqref="E3:E124" xr:uid="{01D92B28-F961-45C1-ACED-EEAA9D56A8B2}">
      <formula1>0</formula1>
    </dataValidation>
    <dataValidation type="list" errorTitle="Valor Inválido" error="Veja as regras no comentário do cabeçalho desta coluna" sqref="A3:A124" xr:uid="{39587160-2874-4D5F-A76D-64E796DDF589}">
      <formula1>lista_responsavel</formula1>
    </dataValidation>
    <dataValidation type="list" errorTitle="Valor Inválido" error="Veja as regras no comentário do cabeçalho desta coluna" sqref="B3:B124" xr:uid="{44C530DF-22A8-4A50-B3E6-51B43E6FE2AF}">
      <formula1>lista_categoria_lancamento</formula1>
    </dataValidation>
    <dataValidation type="list" showInputMessage="1" sqref="G3:G124" xr:uid="{D085B3B3-94CB-4BB4-BBAB-C29D028C4435}">
      <formula1>lista_metodos_pagamento</formula1>
    </dataValidation>
    <dataValidation type="list" showInputMessage="1" sqref="F3:F124" xr:uid="{1178C500-0C7C-4D28-ADAD-A420B8418DF2}">
      <formula1>lista_tipo_lancamento</formula1>
    </dataValidation>
    <dataValidation type="date" operator="greaterThanOrEqual" errorTitle="Valor Inválido" error="Veja as regras no comentário do cabeçalho desta coluna" sqref="J3:J124" xr:uid="{9AAC2D92-C080-43BB-BC58-DFD64D59916B}">
      <formula1>1</formula1>
    </dataValidation>
    <dataValidation type="list" sqref="K3:K124" xr:uid="{A020F951-C93D-4357-AF85-DF2B82665FA1}">
      <formula1>lista_status_pagamento_lancamento</formula1>
    </dataValidation>
    <dataValidation allowBlank="1" sqref="D3:D124" xr:uid="{B765DBE3-6905-46EE-B714-76DBE5255108}"/>
    <dataValidation type="list" allowBlank="1" showInputMessage="1" showErrorMessage="1" sqref="H3:H124" xr:uid="{2C6A2372-A42A-487C-9F73-916019310D9C}">
      <formula1>lista_cartao_credito</formula1>
    </dataValidation>
    <dataValidation type="list" showInputMessage="1" showErrorMessage="1" sqref="I3:I124" xr:uid="{4C4AE55D-178C-4914-B809-5B09CDCC79EE}">
      <formula1>lista_frequencia</formula1>
    </dataValidation>
  </dataValidations>
  <pageMargins left="0.75" right="0.75" top="1" bottom="1" header="0.5" footer="0.5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errorTitle="Valor Inválido" error="Veja as regras no comentário do cabeçalho desta coluna" xr:uid="{F6A5F0EF-FF66-480C-B8D5-A18CA9351869}">
          <x14:formula1>
            <xm:f>INDIRECT("AUX_Base_Opcoes!$"&amp;ADDRESS(2,MATCH(B3,AUX_Base_Opcoes!$1:$1,0),4)&amp;"#")</xm:f>
          </x14:formula1>
          <xm:sqref>C3:C124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C53E5-100A-452B-A7CE-D31F8AE36D10}">
  <sheetPr codeName="Planilha5">
    <tabColor theme="1" tint="0.34998626667073579"/>
  </sheetPr>
  <dimension ref="A1:U36"/>
  <sheetViews>
    <sheetView zoomScale="70" zoomScaleNormal="70" workbookViewId="0">
      <selection activeCell="P5" sqref="P5"/>
    </sheetView>
  </sheetViews>
  <sheetFormatPr defaultRowHeight="14.5" x14ac:dyDescent="0.35"/>
  <cols>
    <col min="1" max="1" width="16.1796875" bestFit="1" customWidth="1"/>
    <col min="2" max="2" width="17.81640625" bestFit="1" customWidth="1"/>
    <col min="3" max="3" width="17.90625" bestFit="1" customWidth="1"/>
    <col min="4" max="4" width="21.81640625" bestFit="1" customWidth="1"/>
    <col min="5" max="5" width="24.54296875" bestFit="1" customWidth="1"/>
    <col min="6" max="6" width="23.453125" bestFit="1" customWidth="1"/>
    <col min="7" max="7" width="23.81640625" bestFit="1" customWidth="1"/>
    <col min="8" max="8" width="25.90625" bestFit="1" customWidth="1"/>
    <col min="9" max="9" width="18.54296875" bestFit="1" customWidth="1"/>
    <col min="10" max="10" width="23.453125" bestFit="1" customWidth="1"/>
    <col min="11" max="11" width="19.81640625" bestFit="1" customWidth="1"/>
    <col min="12" max="12" width="15" bestFit="1" customWidth="1"/>
    <col min="13" max="13" width="22.1796875" bestFit="1" customWidth="1"/>
    <col min="14" max="14" width="26.453125" bestFit="1" customWidth="1"/>
    <col min="15" max="15" width="14.54296875" bestFit="1" customWidth="1"/>
    <col min="16" max="16" width="23.453125" bestFit="1" customWidth="1"/>
    <col min="17" max="17" width="15.6328125" bestFit="1" customWidth="1"/>
    <col min="18" max="18" width="19.7265625" bestFit="1" customWidth="1"/>
    <col min="19" max="19" width="22.1796875" bestFit="1" customWidth="1"/>
    <col min="20" max="20" width="20.6328125" bestFit="1" customWidth="1"/>
    <col min="21" max="22" width="18.6328125" bestFit="1" customWidth="1"/>
    <col min="23" max="24" width="18.6328125" customWidth="1"/>
    <col min="25" max="25" width="18.6328125" bestFit="1" customWidth="1"/>
    <col min="26" max="26" width="27.1796875" bestFit="1" customWidth="1"/>
    <col min="27" max="27" width="18.6328125" bestFit="1" customWidth="1"/>
    <col min="28" max="28" width="27.1796875" bestFit="1" customWidth="1"/>
    <col min="29" max="29" width="28" bestFit="1" customWidth="1"/>
    <col min="30" max="30" width="20.6328125" customWidth="1"/>
    <col min="31" max="32" width="27.81640625" bestFit="1" customWidth="1"/>
    <col min="33" max="33" width="27.81640625" customWidth="1"/>
    <col min="34" max="34" width="28.54296875" bestFit="1" customWidth="1"/>
    <col min="35" max="35" width="22.26953125" bestFit="1" customWidth="1"/>
    <col min="36" max="36" width="18.81640625" bestFit="1" customWidth="1"/>
    <col min="37" max="37" width="21.6328125" bestFit="1" customWidth="1"/>
    <col min="38" max="38" width="16.453125" bestFit="1" customWidth="1"/>
    <col min="39" max="39" width="23.54296875" bestFit="1" customWidth="1"/>
    <col min="40" max="40" width="20" bestFit="1" customWidth="1"/>
    <col min="41" max="41" width="21.81640625" bestFit="1" customWidth="1"/>
    <col min="42" max="42" width="19.26953125" bestFit="1" customWidth="1"/>
    <col min="43" max="43" width="28.54296875" customWidth="1"/>
    <col min="44" max="45" width="19.26953125" bestFit="1" customWidth="1"/>
    <col min="46" max="46" width="22" bestFit="1" customWidth="1"/>
    <col min="47" max="48" width="15.453125" bestFit="1" customWidth="1"/>
    <col min="49" max="49" width="20.1796875" bestFit="1" customWidth="1"/>
    <col min="50" max="50" width="12.453125" bestFit="1" customWidth="1"/>
    <col min="51" max="51" width="17.453125" bestFit="1" customWidth="1"/>
    <col min="52" max="52" width="21.08984375" bestFit="1" customWidth="1"/>
    <col min="53" max="53" width="15.90625" bestFit="1" customWidth="1"/>
    <col min="54" max="54" width="23" bestFit="1" customWidth="1"/>
    <col min="55" max="55" width="19.36328125" bestFit="1" customWidth="1"/>
    <col min="56" max="56" width="21.81640625" bestFit="1" customWidth="1"/>
    <col min="57" max="57" width="26.26953125" bestFit="1" customWidth="1"/>
    <col min="58" max="58" width="18.81640625" bestFit="1" customWidth="1"/>
    <col min="59" max="59" width="24" bestFit="1" customWidth="1"/>
    <col min="60" max="60" width="18.81640625" bestFit="1" customWidth="1"/>
    <col min="61" max="61" width="25.90625" bestFit="1" customWidth="1"/>
    <col min="62" max="62" width="22.26953125" bestFit="1" customWidth="1"/>
    <col min="63" max="63" width="21.81640625" bestFit="1" customWidth="1"/>
    <col min="64" max="64" width="26.26953125" customWidth="1"/>
    <col min="65" max="66" width="18.81640625" bestFit="1" customWidth="1"/>
    <col min="67" max="67" width="26.26953125" bestFit="1" customWidth="1"/>
    <col min="68" max="68" width="18.81640625" bestFit="1" customWidth="1"/>
    <col min="69" max="70" width="18.81640625" customWidth="1"/>
    <col min="71" max="71" width="26.26953125" customWidth="1"/>
    <col min="72" max="72" width="18.81640625" bestFit="1" customWidth="1"/>
    <col min="73" max="73" width="25.1796875" bestFit="1" customWidth="1"/>
    <col min="74" max="74" width="21.81640625" bestFit="1" customWidth="1"/>
    <col min="75" max="75" width="18.81640625" bestFit="1" customWidth="1"/>
    <col min="76" max="76" width="21.26953125" bestFit="1" customWidth="1"/>
    <col min="77" max="77" width="26.36328125" bestFit="1" customWidth="1"/>
    <col min="78" max="78" width="23" bestFit="1" customWidth="1"/>
    <col min="79" max="79" width="26.26953125" customWidth="1"/>
    <col min="80" max="80" width="18.81640625" bestFit="1" customWidth="1"/>
    <col min="81" max="82" width="26.26953125" bestFit="1" customWidth="1"/>
    <col min="83" max="85" width="26.26953125" customWidth="1"/>
    <col min="86" max="86" width="26.36328125" bestFit="1" customWidth="1"/>
    <col min="87" max="87" width="14.90625" bestFit="1" customWidth="1"/>
    <col min="88" max="88" width="23.26953125" bestFit="1" customWidth="1"/>
    <col min="89" max="89" width="15.54296875" bestFit="1" customWidth="1"/>
    <col min="90" max="90" width="17.81640625" bestFit="1" customWidth="1"/>
    <col min="91" max="91" width="17" bestFit="1" customWidth="1"/>
    <col min="92" max="92" width="20.08984375" bestFit="1" customWidth="1"/>
    <col min="93" max="93" width="21.81640625" bestFit="1" customWidth="1"/>
    <col min="94" max="94" width="24.54296875" bestFit="1" customWidth="1"/>
    <col min="95" max="95" width="19.90625" bestFit="1" customWidth="1"/>
    <col min="96" max="96" width="23.453125" bestFit="1" customWidth="1"/>
    <col min="97" max="97" width="23.81640625" bestFit="1" customWidth="1"/>
    <col min="98" max="98" width="18.54296875" bestFit="1" customWidth="1"/>
    <col min="99" max="99" width="21.7265625" bestFit="1" customWidth="1"/>
    <col min="100" max="100" width="19.81640625" bestFit="1" customWidth="1"/>
    <col min="101" max="101" width="18.36328125" bestFit="1" customWidth="1"/>
    <col min="102" max="102" width="21.54296875" bestFit="1" customWidth="1"/>
    <col min="103" max="103" width="8.54296875" bestFit="1" customWidth="1"/>
    <col min="104" max="104" width="25.90625" bestFit="1" customWidth="1"/>
    <col min="105" max="105" width="22.54296875" bestFit="1" customWidth="1"/>
    <col min="106" max="106" width="23.36328125" bestFit="1" customWidth="1"/>
    <col min="107" max="107" width="24.81640625" bestFit="1" customWidth="1"/>
    <col min="108" max="108" width="21.1796875" bestFit="1" customWidth="1"/>
    <col min="109" max="109" width="18.1796875" bestFit="1" customWidth="1"/>
    <col min="110" max="110" width="20.54296875" bestFit="1" customWidth="1"/>
    <col min="111" max="112" width="25.6328125" bestFit="1" customWidth="1"/>
    <col min="113" max="113" width="11.453125" bestFit="1" customWidth="1"/>
  </cols>
  <sheetData>
    <row r="1" spans="1:21" x14ac:dyDescent="0.35">
      <c r="A1" t="s">
        <v>7</v>
      </c>
      <c r="B1" t="s">
        <v>176</v>
      </c>
      <c r="C1" t="s">
        <v>197</v>
      </c>
      <c r="D1" t="s">
        <v>21</v>
      </c>
      <c r="E1" t="s">
        <v>24</v>
      </c>
      <c r="F1" t="s">
        <v>26</v>
      </c>
      <c r="G1" t="s">
        <v>29</v>
      </c>
      <c r="H1" t="s">
        <v>63</v>
      </c>
      <c r="I1" t="s">
        <v>34</v>
      </c>
      <c r="J1" t="s">
        <v>36</v>
      </c>
      <c r="K1" t="s">
        <v>43</v>
      </c>
      <c r="L1" t="s">
        <v>50</v>
      </c>
      <c r="M1" t="s">
        <v>53</v>
      </c>
      <c r="N1" t="s">
        <v>199</v>
      </c>
      <c r="O1" t="s">
        <v>243</v>
      </c>
      <c r="P1" t="s">
        <v>1</v>
      </c>
      <c r="Q1" t="s">
        <v>0</v>
      </c>
      <c r="R1" t="s">
        <v>224</v>
      </c>
      <c r="S1" t="s">
        <v>239</v>
      </c>
      <c r="T1" t="s">
        <v>225</v>
      </c>
      <c r="U1" t="s">
        <v>238</v>
      </c>
    </row>
    <row r="2" spans="1:21" x14ac:dyDescent="0.35">
      <c r="A2" t="s">
        <v>178</v>
      </c>
      <c r="B2" t="s">
        <v>75</v>
      </c>
      <c r="C2" t="s">
        <v>17</v>
      </c>
      <c r="D2" t="s">
        <v>88</v>
      </c>
      <c r="E2" t="s">
        <v>214</v>
      </c>
      <c r="F2" t="s">
        <v>99</v>
      </c>
      <c r="G2" t="s">
        <v>109</v>
      </c>
      <c r="H2" t="s">
        <v>153</v>
      </c>
      <c r="I2" t="s">
        <v>120</v>
      </c>
      <c r="J2" t="s">
        <v>192</v>
      </c>
      <c r="K2" t="s">
        <v>44</v>
      </c>
      <c r="L2" t="s">
        <v>142</v>
      </c>
      <c r="M2" t="s">
        <v>144</v>
      </c>
      <c r="N2" t="s">
        <v>7</v>
      </c>
      <c r="O2" t="s">
        <v>246</v>
      </c>
      <c r="P2" t="s">
        <v>4</v>
      </c>
      <c r="Q2" t="s">
        <v>260</v>
      </c>
      <c r="R2" t="s">
        <v>168</v>
      </c>
      <c r="S2" t="s">
        <v>175</v>
      </c>
      <c r="T2" t="s">
        <v>217</v>
      </c>
      <c r="U2" t="s">
        <v>262</v>
      </c>
    </row>
    <row r="3" spans="1:21" x14ac:dyDescent="0.35">
      <c r="A3" t="s">
        <v>66</v>
      </c>
      <c r="B3" t="s">
        <v>10</v>
      </c>
      <c r="C3" t="s">
        <v>18</v>
      </c>
      <c r="D3" t="s">
        <v>22</v>
      </c>
      <c r="E3" t="s">
        <v>184</v>
      </c>
      <c r="F3" t="s">
        <v>27</v>
      </c>
      <c r="G3" t="s">
        <v>30</v>
      </c>
      <c r="H3" t="s">
        <v>190</v>
      </c>
      <c r="I3" t="s">
        <v>121</v>
      </c>
      <c r="J3" t="s">
        <v>126</v>
      </c>
      <c r="K3" t="s">
        <v>129</v>
      </c>
      <c r="L3" t="s">
        <v>220</v>
      </c>
      <c r="M3" t="s">
        <v>196</v>
      </c>
      <c r="N3" t="s">
        <v>176</v>
      </c>
      <c r="O3" t="s">
        <v>250</v>
      </c>
      <c r="P3" t="s">
        <v>2</v>
      </c>
      <c r="Q3" t="s">
        <v>232</v>
      </c>
      <c r="R3" t="s">
        <v>177</v>
      </c>
      <c r="S3" t="s">
        <v>208</v>
      </c>
      <c r="T3" t="s">
        <v>218</v>
      </c>
      <c r="U3" t="s">
        <v>261</v>
      </c>
    </row>
    <row r="4" spans="1:21" x14ac:dyDescent="0.35">
      <c r="A4" t="s">
        <v>67</v>
      </c>
      <c r="B4" t="s">
        <v>85</v>
      </c>
      <c r="C4" t="s">
        <v>180</v>
      </c>
      <c r="D4" t="s">
        <v>23</v>
      </c>
      <c r="E4" t="s">
        <v>169</v>
      </c>
      <c r="F4" t="s">
        <v>100</v>
      </c>
      <c r="G4" t="s">
        <v>110</v>
      </c>
      <c r="H4" t="s">
        <v>231</v>
      </c>
      <c r="I4" t="s">
        <v>122</v>
      </c>
      <c r="J4" t="s">
        <v>213</v>
      </c>
      <c r="K4" t="s">
        <v>45</v>
      </c>
      <c r="L4" t="s">
        <v>143</v>
      </c>
      <c r="M4" t="s">
        <v>54</v>
      </c>
      <c r="N4" t="s">
        <v>197</v>
      </c>
      <c r="O4" t="s">
        <v>244</v>
      </c>
      <c r="P4" t="s">
        <v>3</v>
      </c>
      <c r="Q4" t="s">
        <v>259</v>
      </c>
      <c r="S4" t="s">
        <v>223</v>
      </c>
      <c r="U4" t="s">
        <v>263</v>
      </c>
    </row>
    <row r="5" spans="1:21" x14ac:dyDescent="0.35">
      <c r="A5" t="s">
        <v>68</v>
      </c>
      <c r="B5" t="s">
        <v>86</v>
      </c>
      <c r="C5" t="s">
        <v>181</v>
      </c>
      <c r="D5" t="s">
        <v>89</v>
      </c>
      <c r="E5" t="s">
        <v>60</v>
      </c>
      <c r="F5" t="s">
        <v>28</v>
      </c>
      <c r="G5" t="s">
        <v>111</v>
      </c>
      <c r="H5" t="s">
        <v>154</v>
      </c>
      <c r="I5" t="s">
        <v>123</v>
      </c>
      <c r="J5" t="s">
        <v>37</v>
      </c>
      <c r="K5" t="s">
        <v>130</v>
      </c>
      <c r="L5" t="s">
        <v>51</v>
      </c>
      <c r="M5" t="s">
        <v>62</v>
      </c>
      <c r="N5" t="s">
        <v>21</v>
      </c>
      <c r="O5" t="s">
        <v>245</v>
      </c>
      <c r="P5" t="s">
        <v>172</v>
      </c>
      <c r="Q5" t="s">
        <v>209</v>
      </c>
      <c r="S5" t="s">
        <v>227</v>
      </c>
    </row>
    <row r="6" spans="1:21" x14ac:dyDescent="0.35">
      <c r="A6" t="s">
        <v>69</v>
      </c>
      <c r="B6" t="s">
        <v>158</v>
      </c>
      <c r="C6" t="s">
        <v>182</v>
      </c>
      <c r="D6" t="s">
        <v>90</v>
      </c>
      <c r="E6" t="s">
        <v>93</v>
      </c>
      <c r="F6" t="s">
        <v>101</v>
      </c>
      <c r="G6" t="s">
        <v>31</v>
      </c>
      <c r="H6" t="s">
        <v>155</v>
      </c>
      <c r="I6" t="s">
        <v>124</v>
      </c>
      <c r="J6" t="s">
        <v>38</v>
      </c>
      <c r="K6" t="s">
        <v>46</v>
      </c>
      <c r="L6" t="s">
        <v>101</v>
      </c>
      <c r="M6" t="s">
        <v>145</v>
      </c>
      <c r="N6" t="s">
        <v>24</v>
      </c>
      <c r="O6" t="s">
        <v>248</v>
      </c>
      <c r="P6" t="s">
        <v>156</v>
      </c>
      <c r="Q6" t="s">
        <v>210</v>
      </c>
      <c r="S6" t="s">
        <v>257</v>
      </c>
    </row>
    <row r="7" spans="1:21" x14ac:dyDescent="0.35">
      <c r="A7" t="s">
        <v>70</v>
      </c>
      <c r="B7" t="s">
        <v>159</v>
      </c>
      <c r="C7" t="s">
        <v>19</v>
      </c>
      <c r="D7" t="s">
        <v>91</v>
      </c>
      <c r="E7" t="s">
        <v>94</v>
      </c>
      <c r="F7" t="s">
        <v>102</v>
      </c>
      <c r="G7" t="s">
        <v>186</v>
      </c>
      <c r="H7" t="s">
        <v>255</v>
      </c>
      <c r="I7" t="s">
        <v>222</v>
      </c>
      <c r="J7" t="s">
        <v>193</v>
      </c>
      <c r="K7" t="s">
        <v>131</v>
      </c>
      <c r="L7" t="s">
        <v>258</v>
      </c>
      <c r="M7" t="s">
        <v>146</v>
      </c>
      <c r="N7" t="s">
        <v>26</v>
      </c>
      <c r="O7" t="s">
        <v>249</v>
      </c>
      <c r="P7" t="s">
        <v>5</v>
      </c>
    </row>
    <row r="8" spans="1:21" x14ac:dyDescent="0.35">
      <c r="A8" t="s">
        <v>71</v>
      </c>
      <c r="B8" t="s">
        <v>207</v>
      </c>
      <c r="C8" t="s">
        <v>82</v>
      </c>
      <c r="D8" t="s">
        <v>183</v>
      </c>
      <c r="E8" t="s">
        <v>95</v>
      </c>
      <c r="F8" t="s">
        <v>103</v>
      </c>
      <c r="G8" t="s">
        <v>187</v>
      </c>
      <c r="I8" t="s">
        <v>191</v>
      </c>
      <c r="J8" t="s">
        <v>171</v>
      </c>
      <c r="K8" t="s">
        <v>132</v>
      </c>
      <c r="L8" t="s">
        <v>221</v>
      </c>
      <c r="M8" t="s">
        <v>147</v>
      </c>
      <c r="N8" t="s">
        <v>29</v>
      </c>
      <c r="O8" t="s">
        <v>247</v>
      </c>
      <c r="P8" t="s">
        <v>6</v>
      </c>
    </row>
    <row r="9" spans="1:21" x14ac:dyDescent="0.35">
      <c r="A9" t="s">
        <v>72</v>
      </c>
      <c r="B9" t="s">
        <v>160</v>
      </c>
      <c r="C9" t="s">
        <v>83</v>
      </c>
      <c r="D9" t="s">
        <v>92</v>
      </c>
      <c r="E9" t="s">
        <v>96</v>
      </c>
      <c r="F9" t="s">
        <v>104</v>
      </c>
      <c r="G9" t="s">
        <v>112</v>
      </c>
      <c r="I9" t="s">
        <v>254</v>
      </c>
      <c r="J9" t="s">
        <v>39</v>
      </c>
      <c r="K9" t="s">
        <v>133</v>
      </c>
      <c r="L9" t="s">
        <v>230</v>
      </c>
      <c r="M9" t="s">
        <v>148</v>
      </c>
      <c r="N9" t="s">
        <v>63</v>
      </c>
      <c r="P9" t="s">
        <v>157</v>
      </c>
    </row>
    <row r="10" spans="1:21" x14ac:dyDescent="0.35">
      <c r="A10" t="s">
        <v>73</v>
      </c>
      <c r="B10" t="s">
        <v>64</v>
      </c>
      <c r="C10" t="s">
        <v>84</v>
      </c>
      <c r="E10" t="s">
        <v>97</v>
      </c>
      <c r="F10" t="s">
        <v>105</v>
      </c>
      <c r="G10" t="s">
        <v>32</v>
      </c>
      <c r="I10" t="s">
        <v>125</v>
      </c>
      <c r="J10" t="s">
        <v>40</v>
      </c>
      <c r="K10" t="s">
        <v>134</v>
      </c>
      <c r="L10" t="s">
        <v>52</v>
      </c>
      <c r="M10" t="s">
        <v>149</v>
      </c>
      <c r="N10" t="s">
        <v>34</v>
      </c>
      <c r="P10" t="s">
        <v>170</v>
      </c>
    </row>
    <row r="11" spans="1:21" x14ac:dyDescent="0.35">
      <c r="A11" t="s">
        <v>8</v>
      </c>
      <c r="B11" t="s">
        <v>161</v>
      </c>
      <c r="E11" t="s">
        <v>98</v>
      </c>
      <c r="F11" t="s">
        <v>106</v>
      </c>
      <c r="G11" t="s">
        <v>216</v>
      </c>
      <c r="I11" t="s">
        <v>35</v>
      </c>
      <c r="J11" t="s">
        <v>41</v>
      </c>
      <c r="K11" t="s">
        <v>135</v>
      </c>
      <c r="L11" t="s">
        <v>173</v>
      </c>
      <c r="M11" t="s">
        <v>150</v>
      </c>
      <c r="N11" t="s">
        <v>36</v>
      </c>
    </row>
    <row r="12" spans="1:21" x14ac:dyDescent="0.35">
      <c r="A12" t="s">
        <v>74</v>
      </c>
      <c r="B12" t="s">
        <v>162</v>
      </c>
      <c r="E12" t="s">
        <v>185</v>
      </c>
      <c r="F12" t="s">
        <v>107</v>
      </c>
      <c r="G12" t="s">
        <v>113</v>
      </c>
      <c r="J12" t="s">
        <v>61</v>
      </c>
      <c r="K12" t="s">
        <v>136</v>
      </c>
      <c r="L12" t="s">
        <v>219</v>
      </c>
      <c r="M12" t="s">
        <v>55</v>
      </c>
      <c r="N12" t="s">
        <v>43</v>
      </c>
    </row>
    <row r="13" spans="1:21" x14ac:dyDescent="0.35">
      <c r="A13" t="s">
        <v>9</v>
      </c>
      <c r="B13" t="s">
        <v>233</v>
      </c>
      <c r="F13" t="s">
        <v>108</v>
      </c>
      <c r="G13" t="s">
        <v>33</v>
      </c>
      <c r="J13" t="s">
        <v>127</v>
      </c>
      <c r="K13" t="s">
        <v>137</v>
      </c>
      <c r="M13" t="s">
        <v>234</v>
      </c>
      <c r="N13" t="s">
        <v>50</v>
      </c>
    </row>
    <row r="14" spans="1:21" x14ac:dyDescent="0.35">
      <c r="B14" t="s">
        <v>76</v>
      </c>
      <c r="G14" t="s">
        <v>114</v>
      </c>
      <c r="J14" t="s">
        <v>128</v>
      </c>
      <c r="K14" t="s">
        <v>47</v>
      </c>
      <c r="M14" t="s">
        <v>56</v>
      </c>
      <c r="N14" t="s">
        <v>53</v>
      </c>
    </row>
    <row r="15" spans="1:21" x14ac:dyDescent="0.35">
      <c r="B15" t="s">
        <v>163</v>
      </c>
      <c r="G15" t="s">
        <v>115</v>
      </c>
      <c r="J15" t="s">
        <v>25</v>
      </c>
      <c r="K15" t="s">
        <v>48</v>
      </c>
      <c r="M15" t="s">
        <v>151</v>
      </c>
    </row>
    <row r="16" spans="1:21" x14ac:dyDescent="0.35">
      <c r="B16" t="s">
        <v>77</v>
      </c>
      <c r="G16" t="s">
        <v>188</v>
      </c>
      <c r="J16" t="s">
        <v>194</v>
      </c>
      <c r="K16" t="s">
        <v>49</v>
      </c>
      <c r="M16" t="s">
        <v>152</v>
      </c>
    </row>
    <row r="17" spans="2:11" x14ac:dyDescent="0.35">
      <c r="B17" t="s">
        <v>78</v>
      </c>
      <c r="G17" t="s">
        <v>116</v>
      </c>
      <c r="J17" t="s">
        <v>195</v>
      </c>
      <c r="K17" t="s">
        <v>138</v>
      </c>
    </row>
    <row r="18" spans="2:11" x14ac:dyDescent="0.35">
      <c r="B18" t="s">
        <v>164</v>
      </c>
      <c r="G18" t="s">
        <v>117</v>
      </c>
      <c r="J18" t="s">
        <v>42</v>
      </c>
      <c r="K18" t="s">
        <v>139</v>
      </c>
    </row>
    <row r="19" spans="2:11" x14ac:dyDescent="0.35">
      <c r="B19" t="s">
        <v>11</v>
      </c>
      <c r="G19" t="s">
        <v>118</v>
      </c>
      <c r="K19" t="s">
        <v>140</v>
      </c>
    </row>
    <row r="20" spans="2:11" x14ac:dyDescent="0.35">
      <c r="B20" t="s">
        <v>20</v>
      </c>
      <c r="G20" t="s">
        <v>189</v>
      </c>
      <c r="K20" t="s">
        <v>141</v>
      </c>
    </row>
    <row r="21" spans="2:11" x14ac:dyDescent="0.35">
      <c r="B21" t="s">
        <v>79</v>
      </c>
      <c r="G21" t="s">
        <v>119</v>
      </c>
    </row>
    <row r="22" spans="2:11" x14ac:dyDescent="0.35">
      <c r="B22" t="s">
        <v>253</v>
      </c>
    </row>
    <row r="23" spans="2:11" x14ac:dyDescent="0.35">
      <c r="B23" t="s">
        <v>12</v>
      </c>
    </row>
    <row r="24" spans="2:11" x14ac:dyDescent="0.35">
      <c r="B24" t="s">
        <v>80</v>
      </c>
    </row>
    <row r="25" spans="2:11" x14ac:dyDescent="0.35">
      <c r="B25" t="s">
        <v>165</v>
      </c>
    </row>
    <row r="26" spans="2:11" x14ac:dyDescent="0.35">
      <c r="B26" t="s">
        <v>13</v>
      </c>
    </row>
    <row r="27" spans="2:11" x14ac:dyDescent="0.35">
      <c r="B27" t="s">
        <v>63</v>
      </c>
    </row>
    <row r="28" spans="2:11" x14ac:dyDescent="0.35">
      <c r="B28" t="s">
        <v>81</v>
      </c>
    </row>
    <row r="29" spans="2:11" x14ac:dyDescent="0.35">
      <c r="B29" t="s">
        <v>215</v>
      </c>
    </row>
    <row r="30" spans="2:11" x14ac:dyDescent="0.35">
      <c r="B30" t="s">
        <v>65</v>
      </c>
    </row>
    <row r="31" spans="2:11" x14ac:dyDescent="0.35">
      <c r="B31" t="s">
        <v>179</v>
      </c>
    </row>
    <row r="32" spans="2:11" x14ac:dyDescent="0.35">
      <c r="B32" t="s">
        <v>14</v>
      </c>
    </row>
    <row r="33" spans="2:2" x14ac:dyDescent="0.35">
      <c r="B33" t="s">
        <v>87</v>
      </c>
    </row>
    <row r="34" spans="2:2" x14ac:dyDescent="0.35">
      <c r="B34" t="s">
        <v>15</v>
      </c>
    </row>
    <row r="35" spans="2:2" x14ac:dyDescent="0.35">
      <c r="B35" t="s">
        <v>166</v>
      </c>
    </row>
    <row r="36" spans="2:2" x14ac:dyDescent="0.35">
      <c r="B36" t="s">
        <v>16</v>
      </c>
    </row>
  </sheetData>
  <phoneticPr fontId="2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03BC2-F2E8-42DF-AEF1-8A37F5440AEC}">
  <sheetPr codeName="Planilha6">
    <tabColor theme="1" tint="0.34998626667073579"/>
  </sheetPr>
  <dimension ref="A1:IN36"/>
  <sheetViews>
    <sheetView topLeftCell="K1" zoomScale="85" zoomScaleNormal="85" workbookViewId="0">
      <selection activeCell="V2" sqref="V2"/>
    </sheetView>
  </sheetViews>
  <sheetFormatPr defaultRowHeight="14.5" x14ac:dyDescent="0.35"/>
  <cols>
    <col min="1" max="1" width="16.1796875" customWidth="1"/>
    <col min="2" max="3" width="23.26953125" bestFit="1" customWidth="1"/>
    <col min="4" max="4" width="20.36328125" bestFit="1" customWidth="1"/>
    <col min="5" max="5" width="22.08984375" bestFit="1" customWidth="1"/>
    <col min="6" max="6" width="24.7265625" bestFit="1" customWidth="1"/>
    <col min="7" max="7" width="21.81640625" bestFit="1" customWidth="1"/>
    <col min="8" max="8" width="24.54296875" bestFit="1" customWidth="1"/>
    <col min="9" max="9" width="25.7265625" customWidth="1"/>
    <col min="10" max="10" width="23.453125" bestFit="1" customWidth="1"/>
    <col min="11" max="11" width="28.7265625" customWidth="1"/>
    <col min="12" max="12" width="18.54296875" bestFit="1" customWidth="1"/>
    <col min="13" max="13" width="21.7265625" bestFit="1" customWidth="1"/>
    <col min="14" max="14" width="19.81640625" bestFit="1" customWidth="1"/>
    <col min="15" max="15" width="18.36328125" bestFit="1" customWidth="1"/>
    <col min="16" max="16" width="21.54296875" bestFit="1" customWidth="1"/>
    <col min="17" max="17" width="26.26953125" bestFit="1" customWidth="1"/>
    <col min="18" max="18" width="25.90625" bestFit="1" customWidth="1"/>
    <col min="19" max="19" width="25.54296875" customWidth="1"/>
    <col min="20" max="20" width="25.453125" customWidth="1"/>
    <col min="21" max="21" width="24.81640625" bestFit="1" customWidth="1"/>
    <col min="22" max="22" width="23.7265625" bestFit="1" customWidth="1"/>
    <col min="23" max="23" width="23.81640625" bestFit="1" customWidth="1"/>
    <col min="24" max="24" width="26.7265625" customWidth="1"/>
    <col min="25" max="25" width="25.453125" customWidth="1"/>
    <col min="26" max="26" width="23.81640625" bestFit="1" customWidth="1"/>
    <col min="27" max="27" width="24.26953125" bestFit="1" customWidth="1"/>
    <col min="28" max="28" width="18.1796875" bestFit="1" customWidth="1"/>
    <col min="29" max="29" width="16.7265625" bestFit="1" customWidth="1"/>
    <col min="30" max="30" width="26.08984375" bestFit="1" customWidth="1"/>
  </cols>
  <sheetData>
    <row r="1" spans="1:248" x14ac:dyDescent="0.35">
      <c r="A1" s="15" t="str" cm="1">
        <f t="array" ref="A1:U1">PQ_Base_Opcoes_Formatada[#Headers]</f>
        <v>ALIMENTACAO</v>
      </c>
      <c r="B1" s="15" t="str">
        <v>ASSINATURA</v>
      </c>
      <c r="C1" s="15" t="str">
        <v>BELEZA_PESSOAL</v>
      </c>
      <c r="D1" s="15" t="str">
        <v>EDUCACAO</v>
      </c>
      <c r="E1" s="15" t="str">
        <v>FINANCEIRO</v>
      </c>
      <c r="F1" s="15" t="str">
        <v>LAZER</v>
      </c>
      <c r="G1" s="15" t="str">
        <v>MORADIA</v>
      </c>
      <c r="H1" s="15" t="str">
        <v>OUTROS</v>
      </c>
      <c r="I1" s="15" t="str">
        <v>PETS</v>
      </c>
      <c r="J1" s="15" t="str">
        <v>RECEITA</v>
      </c>
      <c r="K1" s="15" t="str">
        <v>SAUDE</v>
      </c>
      <c r="L1" s="15" t="str">
        <v>SHOPPING</v>
      </c>
      <c r="M1" s="15" t="str">
        <v>TRANSPORTE</v>
      </c>
      <c r="N1" s="15" t="str">
        <v>CATEGORIA_LANCAMENTO</v>
      </c>
      <c r="O1" s="15" t="str">
        <v>FREQUENCIA</v>
      </c>
      <c r="P1" s="15" t="str">
        <v>METODO_PAGAMENTO</v>
      </c>
      <c r="Q1" s="15" t="str">
        <v>RESPONSAVEL</v>
      </c>
      <c r="R1" s="15" t="str">
        <v>STATUS_GENERICO</v>
      </c>
      <c r="S1" s="15" t="str">
        <v>STATUS_PAGAMENTO</v>
      </c>
      <c r="T1" s="15" t="str">
        <v>TIPO_LANCAMENTO</v>
      </c>
      <c r="U1" s="15" t="str">
        <v>CARTAO_CREDITO</v>
      </c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5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  <c r="DD1" s="16"/>
      <c r="DE1" s="16"/>
      <c r="DF1" s="16"/>
      <c r="DG1" s="16"/>
      <c r="DH1" s="16"/>
      <c r="DI1" s="16"/>
      <c r="DJ1" s="16"/>
      <c r="DK1" s="16"/>
      <c r="DL1" s="16"/>
      <c r="DM1" s="16"/>
      <c r="DN1" s="16"/>
      <c r="DO1" s="16"/>
      <c r="DP1" s="16"/>
      <c r="DQ1" s="16"/>
      <c r="DR1" s="16"/>
      <c r="DS1" s="16"/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EE1" s="16"/>
      <c r="EF1" s="16"/>
      <c r="EG1" s="16"/>
      <c r="EH1" s="16"/>
      <c r="EI1" s="16"/>
      <c r="EJ1" s="16"/>
      <c r="EK1" s="16"/>
      <c r="EL1" s="16"/>
      <c r="EM1" s="16"/>
      <c r="EN1" s="16"/>
      <c r="EO1" s="16"/>
      <c r="EP1" s="16"/>
      <c r="EQ1" s="16"/>
      <c r="ER1" s="16"/>
      <c r="ES1" s="16"/>
      <c r="ET1" s="16"/>
      <c r="EU1" s="16"/>
      <c r="EV1" s="16"/>
      <c r="EW1" s="16"/>
      <c r="EX1" s="16"/>
      <c r="EY1" s="16"/>
      <c r="EZ1" s="16"/>
      <c r="FA1" s="16"/>
      <c r="FB1" s="16"/>
      <c r="FC1" s="16"/>
      <c r="FD1" s="16"/>
      <c r="FE1" s="16"/>
      <c r="FF1" s="16"/>
      <c r="FG1" s="16"/>
      <c r="FH1" s="16"/>
      <c r="FI1" s="16"/>
      <c r="FJ1" s="16"/>
      <c r="FK1" s="16"/>
      <c r="FL1" s="16"/>
      <c r="FM1" s="16"/>
      <c r="FN1" s="16"/>
      <c r="FO1" s="16"/>
      <c r="FP1" s="16"/>
      <c r="FQ1" s="16"/>
      <c r="FR1" s="16"/>
      <c r="FS1" s="16"/>
      <c r="FT1" s="16"/>
      <c r="FU1" s="16"/>
      <c r="FV1" s="16"/>
      <c r="FW1" s="16"/>
      <c r="FX1" s="16"/>
      <c r="FY1" s="16"/>
      <c r="FZ1" s="16"/>
      <c r="GA1" s="16"/>
      <c r="GB1" s="16"/>
      <c r="GC1" s="16"/>
      <c r="GD1" s="16"/>
      <c r="GE1" s="16"/>
      <c r="GF1" s="16"/>
      <c r="GG1" s="16"/>
      <c r="GH1" s="16"/>
      <c r="GI1" s="16"/>
      <c r="GJ1" s="16"/>
      <c r="GK1" s="16"/>
      <c r="GL1" s="16"/>
      <c r="GM1" s="16"/>
      <c r="GN1" s="16"/>
      <c r="GO1" s="16"/>
      <c r="GP1" s="16"/>
      <c r="GQ1" s="16"/>
      <c r="GR1" s="16"/>
      <c r="GS1" s="16"/>
      <c r="GT1" s="16"/>
      <c r="GU1" s="16"/>
      <c r="GV1" s="16"/>
      <c r="GW1" s="16"/>
      <c r="GX1" s="16"/>
      <c r="GY1" s="16"/>
      <c r="GZ1" s="16"/>
      <c r="HA1" s="16"/>
      <c r="HB1" s="16"/>
      <c r="HC1" s="16"/>
      <c r="HD1" s="16"/>
      <c r="HE1" s="16"/>
      <c r="HF1" s="16"/>
      <c r="HG1" s="16"/>
      <c r="HH1" s="16"/>
      <c r="HI1" s="16"/>
      <c r="HJ1" s="16"/>
      <c r="HK1" s="16"/>
      <c r="HL1" s="16"/>
      <c r="HM1" s="16"/>
      <c r="HN1" s="16"/>
      <c r="HO1" s="16"/>
      <c r="HP1" s="16"/>
      <c r="HQ1" s="16"/>
      <c r="HR1" s="16"/>
      <c r="HS1" s="16"/>
      <c r="HT1" s="16"/>
      <c r="HU1" s="16"/>
      <c r="HV1" s="16"/>
      <c r="HW1" s="16"/>
      <c r="HX1" s="16"/>
      <c r="HY1" s="16"/>
      <c r="HZ1" s="16"/>
      <c r="IA1" s="16"/>
      <c r="IB1" s="16"/>
      <c r="IC1" s="16"/>
      <c r="ID1" s="16"/>
      <c r="IE1" s="16"/>
      <c r="IF1" s="16"/>
      <c r="IG1" s="16"/>
      <c r="IH1" s="16"/>
      <c r="II1" s="16"/>
      <c r="IJ1" s="16"/>
      <c r="IK1" s="16"/>
      <c r="IL1" s="16"/>
      <c r="IM1" s="16"/>
      <c r="IN1" s="16"/>
    </row>
    <row r="2" spans="1:248" x14ac:dyDescent="0.35">
      <c r="A2" t="str" cm="1">
        <f t="array" aca="1" ref="A2:A13" ca="1">IFERROR(_xlfn.UNIQUE(_xlfn._xlws.FILTER(INDIRECT("PQ_Base_Opcoes_Formatada["&amp;A$1&amp;"]"),INDIRECT("PQ_Base_Opcoes_Formatada["&amp;A$1&amp;"]")&lt;&gt;"")),"")</f>
        <v>ACOUGUE</v>
      </c>
      <c r="B2" t="str" cm="1">
        <f t="array" aca="1" ref="B2:B36" ca="1">IFERROR(_xlfn.UNIQUE(_xlfn._xlws.FILTER(INDIRECT("PQ_Base_Opcoes_Formatada["&amp;B$1&amp;"]"),INDIRECT("PQ_Base_Opcoes_Formatada["&amp;B$1&amp;"]")&lt;&gt;"")),"")</f>
        <v>AMAZON PRIME</v>
      </c>
      <c r="C2" t="str" cm="1">
        <f t="array" aca="1" ref="C2:C10" ca="1">IFERROR(_xlfn.UNIQUE(_xlfn._xlws.FILTER(INDIRECT("PQ_Base_Opcoes_Formatada["&amp;C$1&amp;"]"),INDIRECT("PQ_Base_Opcoes_Formatada["&amp;C$1&amp;"]")&lt;&gt;"")),"")</f>
        <v>BARBEARIA</v>
      </c>
      <c r="D2" t="str" cm="1">
        <f t="array" aca="1" ref="D2:D9" ca="1">IFERROR(_xlfn.UNIQUE(_xlfn._xlws.FILTER(INDIRECT("PQ_Base_Opcoes_Formatada["&amp;D$1&amp;"]"),INDIRECT("PQ_Base_Opcoes_Formatada["&amp;D$1&amp;"]")&lt;&gt;"")),"")</f>
        <v>CURSOS ONLINE</v>
      </c>
      <c r="E2" t="str" cm="1">
        <f t="array" aca="1" ref="E2:E12" ca="1">IFERROR(_xlfn.UNIQUE(_xlfn._xlws.FILTER(INDIRECT("PQ_Base_Opcoes_Formatada["&amp;E$1&amp;"]"),INDIRECT("PQ_Base_Opcoes_Formatada["&amp;E$1&amp;"]")&lt;&gt;"")),"")</f>
        <v>DAS MEI</v>
      </c>
      <c r="F2" t="str" cm="1">
        <f t="array" aca="1" ref="F2:F13" ca="1">IFERROR(_xlfn.UNIQUE(_xlfn._xlws.FILTER(INDIRECT("PQ_Base_Opcoes_Formatada["&amp;F$1&amp;"]"),INDIRECT("PQ_Base_Opcoes_Formatada["&amp;F$1&amp;"]")&lt;&gt;"")),"")</f>
        <v>BALADA</v>
      </c>
      <c r="G2" t="str" cm="1">
        <f t="array" aca="1" ref="G2:G21" ca="1">IFERROR(_xlfn.UNIQUE(_xlfn._xlws.FILTER(INDIRECT("PQ_Base_Opcoes_Formatada["&amp;G$1&amp;"]"),INDIRECT("PQ_Base_Opcoes_Formatada["&amp;G$1&amp;"]")&lt;&gt;"")),"")</f>
        <v>AGUA E ESGOTO</v>
      </c>
      <c r="H2" t="str" cm="1">
        <f t="array" aca="1" ref="H2:H7" ca="1">IFERROR(_xlfn.UNIQUE(_xlfn._xlws.FILTER(INDIRECT("PQ_Base_Opcoes_Formatada["&amp;H$1&amp;"]"),INDIRECT("PQ_Base_Opcoes_Formatada["&amp;H$1&amp;"]")&lt;&gt;"")),"")</f>
        <v>CARTORIO</v>
      </c>
      <c r="I2" t="str" cm="1">
        <f t="array" aca="1" ref="I2:I11" ca="1">IFERROR(_xlfn.UNIQUE(_xlfn._xlws.FILTER(INDIRECT("PQ_Base_Opcoes_Formatada["&amp;I$1&amp;"]"),INDIRECT("PQ_Base_Opcoes_Formatada["&amp;I$1&amp;"]")&lt;&gt;"")),"")</f>
        <v>ADESTRAMENTO</v>
      </c>
      <c r="J2" t="str" cm="1">
        <f t="array" aca="1" ref="J2:J18" ca="1">IFERROR(_xlfn.UNIQUE(_xlfn._xlws.FILTER(INDIRECT("PQ_Base_Opcoes_Formatada["&amp;J$1&amp;"]"),INDIRECT("PQ_Base_Opcoes_Formatada["&amp;J$1&amp;"]")&lt;&gt;"")),"")</f>
        <v>13º SALARIO</v>
      </c>
      <c r="K2" t="str" cm="1">
        <f t="array" aca="1" ref="K2:K20" ca="1">IFERROR(_xlfn.UNIQUE(_xlfn._xlws.FILTER(INDIRECT("PQ_Base_Opcoes_Formatada["&amp;K$1&amp;"]"),INDIRECT("PQ_Base_Opcoes_Formatada["&amp;K$1&amp;"]")&lt;&gt;"")),"")</f>
        <v>ACADEMIA</v>
      </c>
      <c r="L2" t="str" cm="1">
        <f t="array" aca="1" ref="L2:L12" ca="1">IFERROR(_xlfn.UNIQUE(_xlfn._xlws.FILTER(INDIRECT("PQ_Base_Opcoes_Formatada["&amp;L$1&amp;"]"),INDIRECT("PQ_Base_Opcoes_Formatada["&amp;L$1&amp;"]")&lt;&gt;"")),"")</f>
        <v>ACESSORIOS</v>
      </c>
      <c r="M2" t="str" cm="1">
        <f t="array" aca="1" ref="M2:M16" ca="1">IFERROR(_xlfn.UNIQUE(_xlfn._xlws.FILTER(INDIRECT("PQ_Base_Opcoes_Formatada["&amp;M$1&amp;"]"),INDIRECT("PQ_Base_Opcoes_Formatada["&amp;M$1&amp;"]")&lt;&gt;"")),"")</f>
        <v>ALUGUEL DE CARRO</v>
      </c>
      <c r="N2" t="str" cm="1">
        <f t="array" aca="1" ref="N2:N14" ca="1">IFERROR(_xlfn.UNIQUE(_xlfn._xlws.FILTER(INDIRECT("PQ_Base_Opcoes_Formatada["&amp;N$1&amp;"]"),INDIRECT("PQ_Base_Opcoes_Formatada["&amp;N$1&amp;"]")&lt;&gt;"")),"")</f>
        <v>ALIMENTACAO</v>
      </c>
      <c r="O2" t="str" cm="1">
        <f t="array" aca="1" ref="O2:O8" ca="1">IFERROR(_xlfn.UNIQUE(_xlfn._xlws.FILTER(INDIRECT("PQ_Base_Opcoes_Formatada["&amp;O$1&amp;"]"),INDIRECT("PQ_Base_Opcoes_Formatada["&amp;O$1&amp;"]")&lt;&gt;"")),"")</f>
        <v>MENSAL</v>
      </c>
      <c r="P2" t="str" cm="1">
        <f t="array" aca="1" ref="P2:P10" ca="1">IFERROR(_xlfn.UNIQUE(_xlfn._xlws.FILTER(INDIRECT("PQ_Base_Opcoes_Formatada["&amp;P$1&amp;"]"),INDIRECT("PQ_Base_Opcoes_Formatada["&amp;P$1&amp;"]")&lt;&gt;"")),"")</f>
        <v>PIX</v>
      </c>
      <c r="Q2" t="str" cm="1">
        <f t="array" aca="1" ref="Q2:Q6" ca="1">IFERROR(_xlfn.UNIQUE(_xlfn._xlws.FILTER(INDIRECT("PQ_Base_Opcoes_Formatada["&amp;Q$1&amp;"]"),INDIRECT("PQ_Base_Opcoes_Formatada["&amp;Q$1&amp;"]")&lt;&gt;"")),"")</f>
        <v>DAYANE</v>
      </c>
      <c r="R2" t="str" cm="1">
        <f t="array" aca="1" ref="R2:R3" ca="1">IFERROR(_xlfn.UNIQUE(_xlfn._xlws.FILTER(INDIRECT("PQ_Base_Opcoes_Formatada["&amp;R$1&amp;"]"),INDIRECT("PQ_Base_Opcoes_Formatada["&amp;R$1&amp;"]")&lt;&gt;"")),"")</f>
        <v>ATIVO</v>
      </c>
      <c r="S2" t="str" cm="1">
        <f t="array" aca="1" ref="S2:S6" ca="1">IFERROR(_xlfn.UNIQUE(_xlfn._xlws.FILTER(INDIRECT("PQ_Base_Opcoes_Formatada["&amp;S$1&amp;"]"),INDIRECT("PQ_Base_Opcoes_Formatada["&amp;S$1&amp;"]")&lt;&gt;"")),"")</f>
        <v>PAGO</v>
      </c>
      <c r="T2" t="str" cm="1">
        <f t="array" aca="1" ref="T2:T3" ca="1">IFERROR(_xlfn.UNIQUE(_xlfn._xlws.FILTER(INDIRECT("PQ_Base_Opcoes_Formatada["&amp;T$1&amp;"]"),INDIRECT("PQ_Base_Opcoes_Formatada["&amp;T$1&amp;"]")&lt;&gt;"")),"")</f>
        <v>SAIDA</v>
      </c>
      <c r="U2" t="str" cm="1">
        <f t="array" aca="1" ref="U2:U4" ca="1">IFERROR(_xlfn.UNIQUE(_xlfn._xlws.FILTER(INDIRECT("PQ_Base_Opcoes_Formatada["&amp;U$1&amp;"]"),INDIRECT("PQ_Base_Opcoes_Formatada["&amp;U$1&amp;"]")&lt;&gt;"")),"")</f>
        <v>Inter Black</v>
      </c>
      <c r="V2" t="str" cm="1">
        <f t="array" aca="1" ref="V2" ca="1">IFERROR(_xlfn.UNIQUE(_xlfn._xlws.FILTER(INDIRECT("PQ_Base_Opcoes_Formatada["&amp;V$1&amp;"]"),INDIRECT("PQ_Base_Opcoes_Formatada["&amp;V$1&amp;"]")&lt;&gt;"")),"")</f>
        <v/>
      </c>
      <c r="W2" t="str" cm="1">
        <f t="array" aca="1" ref="W2" ca="1">IFERROR(_xlfn.UNIQUE(_xlfn._xlws.FILTER(INDIRECT("PQ_Base_Opcoes_Formatada["&amp;W$1&amp;"]"),INDIRECT("PQ_Base_Opcoes_Formatada["&amp;W$1&amp;"]")&lt;&gt;"")),"")</f>
        <v/>
      </c>
      <c r="X2" t="str" cm="1">
        <f t="array" aca="1" ref="X2" ca="1">IFERROR(_xlfn.UNIQUE(_xlfn._xlws.FILTER(INDIRECT("PQ_Base_Opcoes_Formatada["&amp;X$1&amp;"]"),INDIRECT("PQ_Base_Opcoes_Formatada["&amp;X$1&amp;"]")&lt;&gt;"")),"")</f>
        <v/>
      </c>
      <c r="Y2" t="str" cm="1">
        <f t="array" aca="1" ref="Y2" ca="1">IFERROR(_xlfn.UNIQUE(_xlfn._xlws.FILTER(INDIRECT("PQ_Base_Opcoes_Formatada["&amp;Y$1&amp;"]"),INDIRECT("PQ_Base_Opcoes_Formatada["&amp;Y$1&amp;"]")&lt;&gt;"")),"")</f>
        <v/>
      </c>
      <c r="Z2" t="str" cm="1">
        <f t="array" aca="1" ref="Z2" ca="1">IFERROR(_xlfn.UNIQUE(_xlfn._xlws.FILTER(INDIRECT("PQ_Base_Opcoes_Formatada["&amp;Z$1&amp;"]"),INDIRECT("PQ_Base_Opcoes_Formatada["&amp;Z$1&amp;"]")&lt;&gt;"")),"")</f>
        <v/>
      </c>
      <c r="AA2" t="str" cm="1">
        <f t="array" aca="1" ref="AA2" ca="1">IFERROR(_xlfn.UNIQUE(_xlfn._xlws.FILTER(INDIRECT("PQ_Base_Opcoes_Formatada["&amp;AA$1&amp;"]"),INDIRECT("PQ_Base_Opcoes_Formatada["&amp;AA$1&amp;"]")&lt;&gt;"")),"")</f>
        <v/>
      </c>
      <c r="AB2" t="str" cm="1">
        <f t="array" aca="1" ref="AB2" ca="1">IFERROR(_xlfn.UNIQUE(_xlfn._xlws.FILTER(INDIRECT("PQ_Base_Opcoes_Formatada["&amp;AB$1&amp;"]"),INDIRECT("PQ_Base_Opcoes_Formatada["&amp;AB$1&amp;"]")&lt;&gt;"")),"")</f>
        <v/>
      </c>
      <c r="AC2" t="str" cm="1">
        <f t="array" aca="1" ref="AC2" ca="1">IFERROR(_xlfn.UNIQUE(_xlfn._xlws.FILTER(INDIRECT("PQ_Base_Opcoes_Formatada["&amp;AC$1&amp;"]"),INDIRECT("PQ_Base_Opcoes_Formatada["&amp;AC$1&amp;"]")&lt;&gt;"")),"")</f>
        <v/>
      </c>
      <c r="AD2" t="str" cm="1">
        <f t="array" aca="1" ref="AD2" ca="1">IFERROR(_xlfn.UNIQUE(_xlfn._xlws.FILTER(INDIRECT("PQ_Base_Opcoes_Formatada["&amp;AD$1&amp;"]"),INDIRECT("PQ_Base_Opcoes_Formatada["&amp;AD$1&amp;"]")&lt;&gt;"")),"")</f>
        <v/>
      </c>
      <c r="AE2" t="str" cm="1">
        <f t="array" aca="1" ref="AE2" ca="1">IFERROR(_xlfn.UNIQUE(_xlfn._xlws.FILTER(INDIRECT("PQ_Base_Opcoes_Formatada["&amp;AE$1&amp;"]"),INDIRECT("PQ_Base_Opcoes_Formatada["&amp;AE$1&amp;"]")&lt;&gt;"")),"")</f>
        <v/>
      </c>
      <c r="AF2" t="str" cm="1">
        <f t="array" aca="1" ref="AF2" ca="1">IFERROR(_xlfn.UNIQUE(_xlfn._xlws.FILTER(INDIRECT("PQ_Base_Opcoes_Formatada["&amp;AF$1&amp;"]"),INDIRECT("PQ_Base_Opcoes_Formatada["&amp;AF$1&amp;"]")&lt;&gt;"")),"")</f>
        <v/>
      </c>
      <c r="AG2" t="str" cm="1">
        <f t="array" aca="1" ref="AG2" ca="1">IFERROR(_xlfn.UNIQUE(_xlfn._xlws.FILTER(INDIRECT("PQ_Base_Opcoes_Formatada["&amp;AG$1&amp;"]"),INDIRECT("PQ_Base_Opcoes_Formatada["&amp;AG$1&amp;"]")&lt;&gt;"")),"")</f>
        <v/>
      </c>
      <c r="AH2" t="str" cm="1">
        <f t="array" aca="1" ref="AH2" ca="1">IFERROR(_xlfn.UNIQUE(_xlfn._xlws.FILTER(INDIRECT("PQ_Base_Opcoes_Formatada["&amp;AH$1&amp;"]"),INDIRECT("PQ_Base_Opcoes_Formatada["&amp;AH$1&amp;"]")&lt;&gt;"")),"")</f>
        <v/>
      </c>
      <c r="AI2" t="str" cm="1">
        <f t="array" aca="1" ref="AI2" ca="1">IFERROR(_xlfn.UNIQUE(_xlfn._xlws.FILTER(INDIRECT("PQ_Base_Opcoes_Formatada["&amp;AI$1&amp;"]"),INDIRECT("PQ_Base_Opcoes_Formatada["&amp;AI$1&amp;"]")&lt;&gt;"")),"")</f>
        <v/>
      </c>
      <c r="AJ2" t="str" cm="1">
        <f t="array" aca="1" ref="AJ2" ca="1">IFERROR(_xlfn.UNIQUE(_xlfn._xlws.FILTER(INDIRECT("PQ_Base_Opcoes_Formatada["&amp;AJ$1&amp;"]"),INDIRECT("PQ_Base_Opcoes_Formatada["&amp;AJ$1&amp;"]")&lt;&gt;"")),"")</f>
        <v/>
      </c>
      <c r="AK2" t="str" cm="1">
        <f t="array" aca="1" ref="AK2" ca="1">IFERROR(_xlfn.UNIQUE(_xlfn._xlws.FILTER(INDIRECT("PQ_Base_Opcoes_Formatada["&amp;AK$1&amp;"]"),INDIRECT("PQ_Base_Opcoes_Formatada["&amp;AK$1&amp;"]")&lt;&gt;"")),"")</f>
        <v/>
      </c>
      <c r="AL2" t="str" cm="1">
        <f t="array" aca="1" ref="AL2" ca="1">IFERROR(_xlfn.UNIQUE(_xlfn._xlws.FILTER(INDIRECT("PQ_Base_Opcoes_Formatada["&amp;AL$1&amp;"]"),INDIRECT("PQ_Base_Opcoes_Formatada["&amp;AL$1&amp;"]")&lt;&gt;"")),"")</f>
        <v/>
      </c>
      <c r="AM2" t="str" cm="1">
        <f t="array" aca="1" ref="AM2" ca="1">IFERROR(_xlfn.UNIQUE(_xlfn._xlws.FILTER(INDIRECT("PQ_Base_Opcoes_Formatada["&amp;AM$1&amp;"]"),INDIRECT("PQ_Base_Opcoes_Formatada["&amp;AM$1&amp;"]")&lt;&gt;"")),"")</f>
        <v/>
      </c>
      <c r="AN2" t="str" cm="1">
        <f t="array" aca="1" ref="AN2" ca="1">IFERROR(_xlfn.UNIQUE(_xlfn._xlws.FILTER(INDIRECT("PQ_Base_Opcoes_Formatada["&amp;AN$1&amp;"]"),INDIRECT("PQ_Base_Opcoes_Formatada["&amp;AN$1&amp;"]")&lt;&gt;"")),"")</f>
        <v/>
      </c>
      <c r="AO2" t="str" cm="1">
        <f t="array" aca="1" ref="AO2" ca="1">IFERROR(_xlfn.UNIQUE(_xlfn._xlws.FILTER(INDIRECT("PQ_Base_Opcoes_Formatada["&amp;AO$1&amp;"]"),INDIRECT("PQ_Base_Opcoes_Formatada["&amp;AO$1&amp;"]")&lt;&gt;"")),"")</f>
        <v/>
      </c>
      <c r="AP2" t="str" cm="1">
        <f t="array" aca="1" ref="AP2" ca="1">IFERROR(_xlfn.UNIQUE(_xlfn._xlws.FILTER(INDIRECT("PQ_Base_Opcoes_Formatada["&amp;AP$1&amp;"]"),INDIRECT("PQ_Base_Opcoes_Formatada["&amp;AP$1&amp;"]")&lt;&gt;"")),"")</f>
        <v/>
      </c>
      <c r="AQ2" t="str" cm="1">
        <f t="array" aca="1" ref="AQ2" ca="1">IFERROR(_xlfn.UNIQUE(_xlfn._xlws.FILTER(INDIRECT("PQ_Base_Opcoes_Formatada["&amp;AQ$1&amp;"]"),INDIRECT("PQ_Base_Opcoes_Formatada["&amp;AQ$1&amp;"]")&lt;&gt;"")),"")</f>
        <v/>
      </c>
      <c r="AR2" t="str" cm="1">
        <f t="array" aca="1" ref="AR2" ca="1">IFERROR(_xlfn.UNIQUE(_xlfn._xlws.FILTER(INDIRECT("PQ_Base_Opcoes_Formatada["&amp;AR$1&amp;"]"),INDIRECT("PQ_Base_Opcoes_Formatada["&amp;AR$1&amp;"]")&lt;&gt;"")),"")</f>
        <v/>
      </c>
      <c r="AS2" t="str" cm="1">
        <f t="array" aca="1" ref="AS2" ca="1">IFERROR(_xlfn.UNIQUE(_xlfn._xlws.FILTER(INDIRECT("PQ_Base_Opcoes_Formatada["&amp;AS$1&amp;"]"),INDIRECT("PQ_Base_Opcoes_Formatada["&amp;AS$1&amp;"]")&lt;&gt;"")),"")</f>
        <v/>
      </c>
      <c r="AT2" t="str" cm="1">
        <f t="array" aca="1" ref="AT2" ca="1">IFERROR(_xlfn.UNIQUE(_xlfn._xlws.FILTER(INDIRECT("PQ_Base_Opcoes_Formatada["&amp;AT$1&amp;"]"),INDIRECT("PQ_Base_Opcoes_Formatada["&amp;AT$1&amp;"]")&lt;&gt;"")),"")</f>
        <v/>
      </c>
      <c r="AU2" t="str" cm="1">
        <f t="array" aca="1" ref="AU2" ca="1">IFERROR(_xlfn.UNIQUE(_xlfn._xlws.FILTER(INDIRECT("PQ_Base_Opcoes_Formatada["&amp;AU$1&amp;"]"),INDIRECT("PQ_Base_Opcoes_Formatada["&amp;AU$1&amp;"]")&lt;&gt;"")),"")</f>
        <v/>
      </c>
      <c r="AV2" t="str" cm="1">
        <f t="array" aca="1" ref="AV2" ca="1">IFERROR(_xlfn.UNIQUE(_xlfn._xlws.FILTER(INDIRECT("PQ_Base_Opcoes_Formatada["&amp;AV$1&amp;"]"),INDIRECT("PQ_Base_Opcoes_Formatada["&amp;AV$1&amp;"]")&lt;&gt;"")),"")</f>
        <v/>
      </c>
      <c r="AW2" t="str" cm="1">
        <f t="array" aca="1" ref="AW2" ca="1">IFERROR(_xlfn.UNIQUE(_xlfn._xlws.FILTER(INDIRECT("PQ_Base_Opcoes_Formatada["&amp;AW$1&amp;"]"),INDIRECT("PQ_Base_Opcoes_Formatada["&amp;AW$1&amp;"]")&lt;&gt;"")),"")</f>
        <v/>
      </c>
      <c r="AX2" t="str" cm="1">
        <f t="array" aca="1" ref="AX2" ca="1">IFERROR(_xlfn.UNIQUE(_xlfn._xlws.FILTER(INDIRECT("PQ_Base_Opcoes_Formatada["&amp;AX$1&amp;"]"),INDIRECT("PQ_Base_Opcoes_Formatada["&amp;AX$1&amp;"]")&lt;&gt;"")),"")</f>
        <v/>
      </c>
      <c r="AY2" t="str" cm="1">
        <f t="array" aca="1" ref="AY2" ca="1">IFERROR(_xlfn.UNIQUE(_xlfn._xlws.FILTER(INDIRECT("PQ_Base_Opcoes_Formatada["&amp;AY$1&amp;"]"),INDIRECT("PQ_Base_Opcoes_Formatada["&amp;AY$1&amp;"]")&lt;&gt;"")),"")</f>
        <v/>
      </c>
      <c r="AZ2" t="str" cm="1">
        <f t="array" aca="1" ref="AZ2" ca="1">IFERROR(_xlfn.UNIQUE(_xlfn._xlws.FILTER(INDIRECT("PQ_Base_Opcoes_Formatada["&amp;AZ$1&amp;"]"),INDIRECT("PQ_Base_Opcoes_Formatada["&amp;AZ$1&amp;"]")&lt;&gt;"")),"")</f>
        <v/>
      </c>
      <c r="BA2" t="str" cm="1">
        <f t="array" aca="1" ref="BA2" ca="1">IFERROR(_xlfn.UNIQUE(_xlfn._xlws.FILTER(INDIRECT("PQ_Base_Opcoes_Formatada["&amp;BA$1&amp;"]"),INDIRECT("PQ_Base_Opcoes_Formatada["&amp;BA$1&amp;"]")&lt;&gt;"")),"")</f>
        <v/>
      </c>
      <c r="BB2" t="str" cm="1">
        <f t="array" aca="1" ref="BB2" ca="1">IFERROR(_xlfn.UNIQUE(_xlfn._xlws.FILTER(INDIRECT("PQ_Base_Opcoes_Formatada["&amp;BB$1&amp;"]"),INDIRECT("PQ_Base_Opcoes_Formatada["&amp;BB$1&amp;"]")&lt;&gt;"")),"")</f>
        <v/>
      </c>
      <c r="BC2" t="str" cm="1">
        <f t="array" aca="1" ref="BC2" ca="1">IFERROR(_xlfn.UNIQUE(_xlfn._xlws.FILTER(INDIRECT("PQ_Base_Opcoes_Formatada["&amp;BC$1&amp;"]"),INDIRECT("PQ_Base_Opcoes_Formatada["&amp;BC$1&amp;"]")&lt;&gt;"")),"")</f>
        <v/>
      </c>
      <c r="BD2" t="str" cm="1">
        <f t="array" aca="1" ref="BD2" ca="1">IFERROR(_xlfn.UNIQUE(_xlfn._xlws.FILTER(INDIRECT("PQ_Base_Opcoes_Formatada["&amp;BD$1&amp;"]"),INDIRECT("PQ_Base_Opcoes_Formatada["&amp;BD$1&amp;"]")&lt;&gt;"")),"")</f>
        <v/>
      </c>
      <c r="BE2" t="str" cm="1">
        <f t="array" aca="1" ref="BE2" ca="1">IFERROR(_xlfn.UNIQUE(_xlfn._xlws.FILTER(INDIRECT("PQ_Base_Opcoes_Formatada["&amp;BE$1&amp;"]"),INDIRECT("PQ_Base_Opcoes_Formatada["&amp;BE$1&amp;"]")&lt;&gt;"")),"")</f>
        <v/>
      </c>
      <c r="BF2" t="str" cm="1">
        <f t="array" aca="1" ref="BF2" ca="1">IFERROR(_xlfn.UNIQUE(_xlfn._xlws.FILTER(INDIRECT("PQ_Base_Opcoes_Formatada["&amp;BF$1&amp;"]"),INDIRECT("PQ_Base_Opcoes_Formatada["&amp;BF$1&amp;"]")&lt;&gt;"")),"")</f>
        <v/>
      </c>
      <c r="BG2" t="str" cm="1">
        <f t="array" aca="1" ref="BG2" ca="1">IFERROR(_xlfn.UNIQUE(_xlfn._xlws.FILTER(INDIRECT("PQ_Base_Opcoes_Formatada["&amp;BG$1&amp;"]"),INDIRECT("PQ_Base_Opcoes_Formatada["&amp;BG$1&amp;"]")&lt;&gt;"")),"")</f>
        <v/>
      </c>
      <c r="BH2" t="str" cm="1">
        <f t="array" aca="1" ref="BH2" ca="1">IFERROR(_xlfn.UNIQUE(_xlfn._xlws.FILTER(INDIRECT("PQ_Base_Opcoes_Formatada["&amp;BH$1&amp;"]"),INDIRECT("PQ_Base_Opcoes_Formatada["&amp;BH$1&amp;"]")&lt;&gt;"")),"")</f>
        <v/>
      </c>
      <c r="BI2" t="str" cm="1">
        <f t="array" aca="1" ref="BI2" ca="1">IFERROR(_xlfn.UNIQUE(_xlfn._xlws.FILTER(INDIRECT("PQ_Base_Opcoes_Formatada["&amp;BI$1&amp;"]"),INDIRECT("PQ_Base_Opcoes_Formatada["&amp;BI$1&amp;"]")&lt;&gt;"")),"")</f>
        <v/>
      </c>
      <c r="BJ2" t="str" cm="1">
        <f t="array" aca="1" ref="BJ2" ca="1">IFERROR(_xlfn.UNIQUE(_xlfn._xlws.FILTER(INDIRECT("PQ_Base_Opcoes_Formatada["&amp;BJ$1&amp;"]"),INDIRECT("PQ_Base_Opcoes_Formatada["&amp;BJ$1&amp;"]")&lt;&gt;"")),"")</f>
        <v/>
      </c>
      <c r="BK2" t="str" cm="1">
        <f t="array" aca="1" ref="BK2" ca="1">IFERROR(_xlfn.UNIQUE(_xlfn._xlws.FILTER(INDIRECT("PQ_Base_Opcoes_Formatada["&amp;BK$1&amp;"]"),INDIRECT("PQ_Base_Opcoes_Formatada["&amp;BK$1&amp;"]")&lt;&gt;"")),"")</f>
        <v/>
      </c>
      <c r="BL2" t="str" cm="1">
        <f t="array" aca="1" ref="BL2" ca="1">IFERROR(_xlfn.UNIQUE(_xlfn._xlws.FILTER(INDIRECT("PQ_Base_Opcoes_Formatada["&amp;BL$1&amp;"]"),INDIRECT("PQ_Base_Opcoes_Formatada["&amp;BL$1&amp;"]")&lt;&gt;"")),"")</f>
        <v/>
      </c>
      <c r="BM2" t="str" cm="1">
        <f t="array" aca="1" ref="BM2" ca="1">IFERROR(_xlfn.UNIQUE(_xlfn._xlws.FILTER(INDIRECT("PQ_Base_Opcoes_Formatada["&amp;BM$1&amp;"]"),INDIRECT("PQ_Base_Opcoes_Formatada["&amp;BM$1&amp;"]")&lt;&gt;"")),"")</f>
        <v/>
      </c>
      <c r="BN2" t="str" cm="1">
        <f t="array" aca="1" ref="BN2" ca="1">IFERROR(_xlfn.UNIQUE(_xlfn._xlws.FILTER(INDIRECT("PQ_Base_Opcoes_Formatada["&amp;BN$1&amp;"]"),INDIRECT("PQ_Base_Opcoes_Formatada["&amp;BN$1&amp;"]")&lt;&gt;"")),"")</f>
        <v/>
      </c>
      <c r="BO2" t="str" cm="1">
        <f t="array" aca="1" ref="BO2" ca="1">IFERROR(_xlfn.UNIQUE(_xlfn._xlws.FILTER(INDIRECT("PQ_Base_Opcoes_Formatada["&amp;BO$1&amp;"]"),INDIRECT("PQ_Base_Opcoes_Formatada["&amp;BO$1&amp;"]")&lt;&gt;"")),"")</f>
        <v/>
      </c>
      <c r="BP2" t="str" cm="1">
        <f t="array" aca="1" ref="BP2" ca="1">IFERROR(_xlfn.UNIQUE(_xlfn._xlws.FILTER(INDIRECT("PQ_Base_Opcoes_Formatada["&amp;BP$1&amp;"]"),INDIRECT("PQ_Base_Opcoes_Formatada["&amp;BP$1&amp;"]")&lt;&gt;"")),"")</f>
        <v/>
      </c>
      <c r="BQ2" t="str" cm="1">
        <f t="array" aca="1" ref="BQ2" ca="1">IFERROR(_xlfn.UNIQUE(_xlfn._xlws.FILTER(INDIRECT("PQ_Base_Opcoes_Formatada["&amp;BQ$1&amp;"]"),INDIRECT("PQ_Base_Opcoes_Formatada["&amp;BQ$1&amp;"]")&lt;&gt;"")),"")</f>
        <v/>
      </c>
      <c r="BR2" t="str" cm="1">
        <f t="array" aca="1" ref="BR2" ca="1">IFERROR(_xlfn.UNIQUE(_xlfn._xlws.FILTER(INDIRECT("PQ_Base_Opcoes_Formatada["&amp;BR$1&amp;"]"),INDIRECT("PQ_Base_Opcoes_Formatada["&amp;BR$1&amp;"]")&lt;&gt;"")),"")</f>
        <v/>
      </c>
      <c r="BS2" t="str" cm="1">
        <f t="array" aca="1" ref="BS2" ca="1">IFERROR(_xlfn.UNIQUE(_xlfn._xlws.FILTER(INDIRECT("PQ_Base_Opcoes_Formatada["&amp;BS$1&amp;"]"),INDIRECT("PQ_Base_Opcoes_Formatada["&amp;BS$1&amp;"]")&lt;&gt;"")),"")</f>
        <v/>
      </c>
      <c r="BT2" t="str" cm="1">
        <f t="array" aca="1" ref="BT2" ca="1">IFERROR(_xlfn.UNIQUE(_xlfn._xlws.FILTER(INDIRECT("PQ_Base_Opcoes_Formatada["&amp;BT$1&amp;"]"),INDIRECT("PQ_Base_Opcoes_Formatada["&amp;BT$1&amp;"]")&lt;&gt;"")),"")</f>
        <v/>
      </c>
      <c r="BU2" t="str" cm="1">
        <f t="array" aca="1" ref="BU2" ca="1">IFERROR(_xlfn.UNIQUE(_xlfn._xlws.FILTER(INDIRECT("PQ_Base_Opcoes_Formatada["&amp;BU$1&amp;"]"),INDIRECT("PQ_Base_Opcoes_Formatada["&amp;BU$1&amp;"]")&lt;&gt;"")),"")</f>
        <v/>
      </c>
      <c r="BV2" t="str" cm="1">
        <f t="array" aca="1" ref="BV2" ca="1">IFERROR(_xlfn.UNIQUE(_xlfn._xlws.FILTER(INDIRECT("PQ_Base_Opcoes_Formatada["&amp;BV$1&amp;"]"),INDIRECT("PQ_Base_Opcoes_Formatada["&amp;BV$1&amp;"]")&lt;&gt;"")),"")</f>
        <v/>
      </c>
      <c r="BW2" t="str" cm="1">
        <f t="array" aca="1" ref="BW2" ca="1">IFERROR(_xlfn.UNIQUE(_xlfn._xlws.FILTER(INDIRECT("PQ_Base_Opcoes_Formatada["&amp;BW$1&amp;"]"),INDIRECT("PQ_Base_Opcoes_Formatada["&amp;BW$1&amp;"]")&lt;&gt;"")),"")</f>
        <v/>
      </c>
      <c r="BX2" t="str" cm="1">
        <f t="array" aca="1" ref="BX2" ca="1">IFERROR(_xlfn.UNIQUE(_xlfn._xlws.FILTER(INDIRECT("PQ_Base_Opcoes_Formatada["&amp;BX$1&amp;"]"),INDIRECT("PQ_Base_Opcoes_Formatada["&amp;BX$1&amp;"]")&lt;&gt;"")),"")</f>
        <v/>
      </c>
      <c r="BY2" t="str" cm="1">
        <f t="array" aca="1" ref="BY2" ca="1">IFERROR(_xlfn.UNIQUE(_xlfn._xlws.FILTER(INDIRECT("PQ_Base_Opcoes_Formatada["&amp;BY$1&amp;"]"),INDIRECT("PQ_Base_Opcoes_Formatada["&amp;BY$1&amp;"]")&lt;&gt;"")),"")</f>
        <v/>
      </c>
      <c r="BZ2" t="str" cm="1">
        <f t="array" aca="1" ref="BZ2" ca="1">IFERROR(_xlfn.UNIQUE(_xlfn._xlws.FILTER(INDIRECT("PQ_Base_Opcoes_Formatada["&amp;BZ$1&amp;"]"),INDIRECT("PQ_Base_Opcoes_Formatada["&amp;BZ$1&amp;"]")&lt;&gt;"")),"")</f>
        <v/>
      </c>
      <c r="CA2" t="str" cm="1">
        <f t="array" aca="1" ref="CA2" ca="1">IFERROR(_xlfn.UNIQUE(_xlfn._xlws.FILTER(INDIRECT("PQ_Base_Opcoes_Formatada["&amp;CA$1&amp;"]"),INDIRECT("PQ_Base_Opcoes_Formatada["&amp;CA$1&amp;"]")&lt;&gt;"")),"")</f>
        <v/>
      </c>
      <c r="CB2" t="str" cm="1">
        <f t="array" aca="1" ref="CB2" ca="1">IFERROR(_xlfn.UNIQUE(_xlfn._xlws.FILTER(INDIRECT("PQ_Base_Opcoes_Formatada["&amp;CB$1&amp;"]"),INDIRECT("PQ_Base_Opcoes_Formatada["&amp;CB$1&amp;"]")&lt;&gt;"")),"")</f>
        <v/>
      </c>
      <c r="CC2" t="str" cm="1">
        <f t="array" aca="1" ref="CC2" ca="1">IFERROR(_xlfn.UNIQUE(_xlfn._xlws.FILTER(INDIRECT("PQ_Base_Opcoes_Formatada["&amp;CC$1&amp;"]"),INDIRECT("PQ_Base_Opcoes_Formatada["&amp;CC$1&amp;"]")&lt;&gt;"")),"")</f>
        <v/>
      </c>
      <c r="CD2" t="str" cm="1">
        <f t="array" aca="1" ref="CD2" ca="1">IFERROR(_xlfn.UNIQUE(_xlfn._xlws.FILTER(INDIRECT("PQ_Base_Opcoes_Formatada["&amp;CD$1&amp;"]"),INDIRECT("PQ_Base_Opcoes_Formatada["&amp;CD$1&amp;"]")&lt;&gt;"")),"")</f>
        <v/>
      </c>
      <c r="CE2" t="str" cm="1">
        <f t="array" aca="1" ref="CE2" ca="1">IFERROR(_xlfn.UNIQUE(_xlfn._xlws.FILTER(INDIRECT("PQ_Base_Opcoes_Formatada["&amp;CE$1&amp;"]"),INDIRECT("PQ_Base_Opcoes_Formatada["&amp;CE$1&amp;"]")&lt;&gt;"")),"")</f>
        <v/>
      </c>
      <c r="CF2" t="str" cm="1">
        <f t="array" aca="1" ref="CF2" ca="1">IFERROR(_xlfn.UNIQUE(_xlfn._xlws.FILTER(INDIRECT("PQ_Base_Opcoes_Formatada["&amp;CF$1&amp;"]"),INDIRECT("PQ_Base_Opcoes_Formatada["&amp;CF$1&amp;"]")&lt;&gt;"")),"")</f>
        <v/>
      </c>
      <c r="CG2" t="str" cm="1">
        <f t="array" aca="1" ref="CG2" ca="1">IFERROR(_xlfn.UNIQUE(_xlfn._xlws.FILTER(INDIRECT("PQ_Base_Opcoes_Formatada["&amp;CG$1&amp;"]"),INDIRECT("PQ_Base_Opcoes_Formatada["&amp;CG$1&amp;"]")&lt;&gt;"")),"")</f>
        <v/>
      </c>
      <c r="CH2" t="str" cm="1">
        <f t="array" aca="1" ref="CH2" ca="1">IFERROR(_xlfn.UNIQUE(_xlfn._xlws.FILTER(INDIRECT("PQ_Base_Opcoes_Formatada["&amp;CH$1&amp;"]"),INDIRECT("PQ_Base_Opcoes_Formatada["&amp;CH$1&amp;"]")&lt;&gt;"")),"")</f>
        <v/>
      </c>
      <c r="CI2" t="str" cm="1">
        <f t="array" aca="1" ref="CI2" ca="1">IFERROR(_xlfn.UNIQUE(_xlfn._xlws.FILTER(INDIRECT("PQ_Base_Opcoes_Formatada["&amp;CI$1&amp;"]"),INDIRECT("PQ_Base_Opcoes_Formatada["&amp;CI$1&amp;"]")&lt;&gt;"")),"")</f>
        <v/>
      </c>
      <c r="CJ2" t="str" cm="1">
        <f t="array" aca="1" ref="CJ2" ca="1">IFERROR(_xlfn.UNIQUE(_xlfn._xlws.FILTER(INDIRECT("PQ_Base_Opcoes_Formatada["&amp;CJ$1&amp;"]"),INDIRECT("PQ_Base_Opcoes_Formatada["&amp;CJ$1&amp;"]")&lt;&gt;"")),"")</f>
        <v/>
      </c>
      <c r="CK2" t="str" cm="1">
        <f t="array" aca="1" ref="CK2" ca="1">IFERROR(_xlfn.UNIQUE(_xlfn._xlws.FILTER(INDIRECT("PQ_Base_Opcoes_Formatada["&amp;CK$1&amp;"]"),INDIRECT("PQ_Base_Opcoes_Formatada["&amp;CK$1&amp;"]")&lt;&gt;"")),"")</f>
        <v/>
      </c>
      <c r="CL2" t="str" cm="1">
        <f t="array" aca="1" ref="CL2" ca="1">IFERROR(_xlfn.UNIQUE(_xlfn._xlws.FILTER(INDIRECT("PQ_Base_Opcoes_Formatada["&amp;CL$1&amp;"]"),INDIRECT("PQ_Base_Opcoes_Formatada["&amp;CL$1&amp;"]")&lt;&gt;"")),"")</f>
        <v/>
      </c>
      <c r="CM2" t="str" cm="1">
        <f t="array" aca="1" ref="CM2" ca="1">IFERROR(_xlfn.UNIQUE(_xlfn._xlws.FILTER(INDIRECT("PQ_Base_Opcoes_Formatada["&amp;CM$1&amp;"]"),INDIRECT("PQ_Base_Opcoes_Formatada["&amp;CM$1&amp;"]")&lt;&gt;"")),"")</f>
        <v/>
      </c>
      <c r="CN2" t="str" cm="1">
        <f t="array" aca="1" ref="CN2" ca="1">IFERROR(_xlfn.UNIQUE(_xlfn._xlws.FILTER(INDIRECT("PQ_Base_Opcoes_Formatada["&amp;CN$1&amp;"]"),INDIRECT("PQ_Base_Opcoes_Formatada["&amp;CN$1&amp;"]")&lt;&gt;"")),"")</f>
        <v/>
      </c>
      <c r="CO2" t="str" cm="1">
        <f t="array" aca="1" ref="CO2" ca="1">IFERROR(_xlfn.UNIQUE(_xlfn._xlws.FILTER(INDIRECT("PQ_Base_Opcoes_Formatada["&amp;CO$1&amp;"]"),INDIRECT("PQ_Base_Opcoes_Formatada["&amp;CO$1&amp;"]")&lt;&gt;"")),"")</f>
        <v/>
      </c>
      <c r="CP2" t="str" cm="1">
        <f t="array" aca="1" ref="CP2" ca="1">IFERROR(_xlfn.UNIQUE(_xlfn._xlws.FILTER(INDIRECT("PQ_Base_Opcoes_Formatada["&amp;CP$1&amp;"]"),INDIRECT("PQ_Base_Opcoes_Formatada["&amp;CP$1&amp;"]")&lt;&gt;"")),"")</f>
        <v/>
      </c>
      <c r="CQ2" t="str" cm="1">
        <f t="array" aca="1" ref="CQ2" ca="1">IFERROR(_xlfn.UNIQUE(_xlfn._xlws.FILTER(INDIRECT("PQ_Base_Opcoes_Formatada["&amp;CQ$1&amp;"]"),INDIRECT("PQ_Base_Opcoes_Formatada["&amp;CQ$1&amp;"]")&lt;&gt;"")),"")</f>
        <v/>
      </c>
      <c r="CR2" t="str" cm="1">
        <f t="array" aca="1" ref="CR2" ca="1">IFERROR(_xlfn.UNIQUE(_xlfn._xlws.FILTER(INDIRECT("PQ_Base_Opcoes_Formatada["&amp;CR$1&amp;"]"),INDIRECT("PQ_Base_Opcoes_Formatada["&amp;CR$1&amp;"]")&lt;&gt;"")),"")</f>
        <v/>
      </c>
      <c r="CS2" t="str" cm="1">
        <f t="array" aca="1" ref="CS2" ca="1">IFERROR(_xlfn.UNIQUE(_xlfn._xlws.FILTER(INDIRECT("PQ_Base_Opcoes_Formatada["&amp;CS$1&amp;"]"),INDIRECT("PQ_Base_Opcoes_Formatada["&amp;CS$1&amp;"]")&lt;&gt;"")),"")</f>
        <v/>
      </c>
      <c r="CT2" t="str" cm="1">
        <f t="array" aca="1" ref="CT2" ca="1">IFERROR(_xlfn.UNIQUE(_xlfn._xlws.FILTER(INDIRECT("PQ_Base_Opcoes_Formatada["&amp;CT$1&amp;"]"),INDIRECT("PQ_Base_Opcoes_Formatada["&amp;CT$1&amp;"]")&lt;&gt;"")),"")</f>
        <v/>
      </c>
      <c r="CU2" t="str" cm="1">
        <f t="array" aca="1" ref="CU2" ca="1">IFERROR(_xlfn.UNIQUE(_xlfn._xlws.FILTER(INDIRECT("PQ_Base_Opcoes_Formatada["&amp;CU$1&amp;"]"),INDIRECT("PQ_Base_Opcoes_Formatada["&amp;CU$1&amp;"]")&lt;&gt;"")),"")</f>
        <v/>
      </c>
      <c r="CV2" t="str" cm="1">
        <f t="array" aca="1" ref="CV2" ca="1">IFERROR(_xlfn.UNIQUE(_xlfn._xlws.FILTER(INDIRECT("PQ_Base_Opcoes_Formatada["&amp;CV$1&amp;"]"),INDIRECT("PQ_Base_Opcoes_Formatada["&amp;CV$1&amp;"]")&lt;&gt;"")),"")</f>
        <v/>
      </c>
      <c r="CW2" t="str" cm="1">
        <f t="array" aca="1" ref="CW2" ca="1">IFERROR(_xlfn.UNIQUE(_xlfn._xlws.FILTER(INDIRECT("PQ_Base_Opcoes_Formatada["&amp;CW$1&amp;"]"),INDIRECT("PQ_Base_Opcoes_Formatada["&amp;CW$1&amp;"]")&lt;&gt;"")),"")</f>
        <v/>
      </c>
      <c r="CX2" t="str" cm="1">
        <f t="array" aca="1" ref="CX2" ca="1">IFERROR(_xlfn.UNIQUE(_xlfn._xlws.FILTER(INDIRECT("PQ_Base_Opcoes_Formatada["&amp;CX$1&amp;"]"),INDIRECT("PQ_Base_Opcoes_Formatada["&amp;CX$1&amp;"]")&lt;&gt;"")),"")</f>
        <v/>
      </c>
      <c r="CY2" t="str" cm="1">
        <f t="array" aca="1" ref="CY2" ca="1">IFERROR(_xlfn.UNIQUE(_xlfn._xlws.FILTER(INDIRECT("PQ_Base_Opcoes_Formatada["&amp;CY$1&amp;"]"),INDIRECT("PQ_Base_Opcoes_Formatada["&amp;CY$1&amp;"]")&lt;&gt;"")),"")</f>
        <v/>
      </c>
      <c r="CZ2" t="str" cm="1">
        <f t="array" aca="1" ref="CZ2" ca="1">IFERROR(_xlfn.UNIQUE(_xlfn._xlws.FILTER(INDIRECT("PQ_Base_Opcoes_Formatada["&amp;CZ$1&amp;"]"),INDIRECT("PQ_Base_Opcoes_Formatada["&amp;CZ$1&amp;"]")&lt;&gt;"")),"")</f>
        <v/>
      </c>
      <c r="DA2" t="str" cm="1">
        <f t="array" aca="1" ref="DA2" ca="1">IFERROR(_xlfn.UNIQUE(_xlfn._xlws.FILTER(INDIRECT("PQ_Base_Opcoes_Formatada["&amp;DA$1&amp;"]"),INDIRECT("PQ_Base_Opcoes_Formatada["&amp;DA$1&amp;"]")&lt;&gt;"")),"")</f>
        <v/>
      </c>
      <c r="DB2" t="str" cm="1">
        <f t="array" aca="1" ref="DB2" ca="1">IFERROR(_xlfn.UNIQUE(_xlfn._xlws.FILTER(INDIRECT("PQ_Base_Opcoes_Formatada["&amp;DB$1&amp;"]"),INDIRECT("PQ_Base_Opcoes_Formatada["&amp;DB$1&amp;"]")&lt;&gt;"")),"")</f>
        <v/>
      </c>
      <c r="DC2" t="str" cm="1">
        <f t="array" aca="1" ref="DC2" ca="1">IFERROR(_xlfn.UNIQUE(_xlfn._xlws.FILTER(INDIRECT("PQ_Base_Opcoes_Formatada["&amp;DC$1&amp;"]"),INDIRECT("PQ_Base_Opcoes_Formatada["&amp;DC$1&amp;"]")&lt;&gt;"")),"")</f>
        <v/>
      </c>
      <c r="DD2" t="str" cm="1">
        <f t="array" aca="1" ref="DD2" ca="1">IFERROR(_xlfn.UNIQUE(_xlfn._xlws.FILTER(INDIRECT("PQ_Base_Opcoes_Formatada["&amp;DD$1&amp;"]"),INDIRECT("PQ_Base_Opcoes_Formatada["&amp;DD$1&amp;"]")&lt;&gt;"")),"")</f>
        <v/>
      </c>
      <c r="DE2" t="str" cm="1">
        <f t="array" aca="1" ref="DE2" ca="1">IFERROR(_xlfn.UNIQUE(_xlfn._xlws.FILTER(INDIRECT("PQ_Base_Opcoes_Formatada["&amp;DE$1&amp;"]"),INDIRECT("PQ_Base_Opcoes_Formatada["&amp;DE$1&amp;"]")&lt;&gt;"")),"")</f>
        <v/>
      </c>
      <c r="DF2" t="str" cm="1">
        <f t="array" aca="1" ref="DF2" ca="1">IFERROR(_xlfn.UNIQUE(_xlfn._xlws.FILTER(INDIRECT("PQ_Base_Opcoes_Formatada["&amp;DF$1&amp;"]"),INDIRECT("PQ_Base_Opcoes_Formatada["&amp;DF$1&amp;"]")&lt;&gt;"")),"")</f>
        <v/>
      </c>
      <c r="DG2" t="str" cm="1">
        <f t="array" aca="1" ref="DG2" ca="1">IFERROR(_xlfn.UNIQUE(_xlfn._xlws.FILTER(INDIRECT("PQ_Base_Opcoes_Formatada["&amp;DG$1&amp;"]"),INDIRECT("PQ_Base_Opcoes_Formatada["&amp;DG$1&amp;"]")&lt;&gt;"")),"")</f>
        <v/>
      </c>
      <c r="DH2" t="str" cm="1">
        <f t="array" aca="1" ref="DH2" ca="1">IFERROR(_xlfn.UNIQUE(_xlfn._xlws.FILTER(INDIRECT("PQ_Base_Opcoes_Formatada["&amp;DH$1&amp;"]"),INDIRECT("PQ_Base_Opcoes_Formatada["&amp;DH$1&amp;"]")&lt;&gt;"")),"")</f>
        <v/>
      </c>
      <c r="DI2" t="str" cm="1">
        <f t="array" aca="1" ref="DI2" ca="1">IFERROR(_xlfn.UNIQUE(_xlfn._xlws.FILTER(INDIRECT("PQ_Base_Opcoes_Formatada["&amp;DI$1&amp;"]"),INDIRECT("PQ_Base_Opcoes_Formatada["&amp;DI$1&amp;"]")&lt;&gt;"")),"")</f>
        <v/>
      </c>
      <c r="DJ2" t="str" cm="1">
        <f t="array" aca="1" ref="DJ2" ca="1">IFERROR(_xlfn.UNIQUE(_xlfn._xlws.FILTER(INDIRECT("PQ_Base_Opcoes_Formatada["&amp;DJ$1&amp;"]"),INDIRECT("PQ_Base_Opcoes_Formatada["&amp;DJ$1&amp;"]")&lt;&gt;"")),"")</f>
        <v/>
      </c>
      <c r="DK2" t="str" cm="1">
        <f t="array" aca="1" ref="DK2" ca="1">IFERROR(_xlfn.UNIQUE(_xlfn._xlws.FILTER(INDIRECT("PQ_Base_Opcoes_Formatada["&amp;DK$1&amp;"]"),INDIRECT("PQ_Base_Opcoes_Formatada["&amp;DK$1&amp;"]")&lt;&gt;"")),"")</f>
        <v/>
      </c>
      <c r="DL2" t="str" cm="1">
        <f t="array" aca="1" ref="DL2" ca="1">IFERROR(_xlfn.UNIQUE(_xlfn._xlws.FILTER(INDIRECT("PQ_Base_Opcoes_Formatada["&amp;DL$1&amp;"]"),INDIRECT("PQ_Base_Opcoes_Formatada["&amp;DL$1&amp;"]")&lt;&gt;"")),"")</f>
        <v/>
      </c>
      <c r="DM2" t="str" cm="1">
        <f t="array" aca="1" ref="DM2" ca="1">IFERROR(_xlfn.UNIQUE(_xlfn._xlws.FILTER(INDIRECT("PQ_Base_Opcoes_Formatada["&amp;DM$1&amp;"]"),INDIRECT("PQ_Base_Opcoes_Formatada["&amp;DM$1&amp;"]")&lt;&gt;"")),"")</f>
        <v/>
      </c>
      <c r="DN2" t="str" cm="1">
        <f t="array" aca="1" ref="DN2" ca="1">IFERROR(_xlfn.UNIQUE(_xlfn._xlws.FILTER(INDIRECT("PQ_Base_Opcoes_Formatada["&amp;DN$1&amp;"]"),INDIRECT("PQ_Base_Opcoes_Formatada["&amp;DN$1&amp;"]")&lt;&gt;"")),"")</f>
        <v/>
      </c>
      <c r="DO2" t="str" cm="1">
        <f t="array" aca="1" ref="DO2" ca="1">IFERROR(_xlfn.UNIQUE(_xlfn._xlws.FILTER(INDIRECT("PQ_Base_Opcoes_Formatada["&amp;DO$1&amp;"]"),INDIRECT("PQ_Base_Opcoes_Formatada["&amp;DO$1&amp;"]")&lt;&gt;"")),"")</f>
        <v/>
      </c>
      <c r="DP2" t="str" cm="1">
        <f t="array" aca="1" ref="DP2" ca="1">IFERROR(_xlfn.UNIQUE(_xlfn._xlws.FILTER(INDIRECT("PQ_Base_Opcoes_Formatada["&amp;DP$1&amp;"]"),INDIRECT("PQ_Base_Opcoes_Formatada["&amp;DP$1&amp;"]")&lt;&gt;"")),"")</f>
        <v/>
      </c>
      <c r="DQ2" t="str" cm="1">
        <f t="array" aca="1" ref="DQ2" ca="1">IFERROR(_xlfn.UNIQUE(_xlfn._xlws.FILTER(INDIRECT("PQ_Base_Opcoes_Formatada["&amp;DQ$1&amp;"]"),INDIRECT("PQ_Base_Opcoes_Formatada["&amp;DQ$1&amp;"]")&lt;&gt;"")),"")</f>
        <v/>
      </c>
      <c r="DR2" t="str" cm="1">
        <f t="array" aca="1" ref="DR2" ca="1">IFERROR(_xlfn.UNIQUE(_xlfn._xlws.FILTER(INDIRECT("PQ_Base_Opcoes_Formatada["&amp;DR$1&amp;"]"),INDIRECT("PQ_Base_Opcoes_Formatada["&amp;DR$1&amp;"]")&lt;&gt;"")),"")</f>
        <v/>
      </c>
      <c r="DS2" t="str" cm="1">
        <f t="array" aca="1" ref="DS2" ca="1">IFERROR(_xlfn.UNIQUE(_xlfn._xlws.FILTER(INDIRECT("PQ_Base_Opcoes_Formatada["&amp;DS$1&amp;"]"),INDIRECT("PQ_Base_Opcoes_Formatada["&amp;DS$1&amp;"]")&lt;&gt;"")),"")</f>
        <v/>
      </c>
      <c r="DT2" t="str" cm="1">
        <f t="array" aca="1" ref="DT2" ca="1">IFERROR(_xlfn.UNIQUE(_xlfn._xlws.FILTER(INDIRECT("PQ_Base_Opcoes_Formatada["&amp;DT$1&amp;"]"),INDIRECT("PQ_Base_Opcoes_Formatada["&amp;DT$1&amp;"]")&lt;&gt;"")),"")</f>
        <v/>
      </c>
      <c r="DU2" t="str" cm="1">
        <f t="array" aca="1" ref="DU2" ca="1">IFERROR(_xlfn.UNIQUE(_xlfn._xlws.FILTER(INDIRECT("PQ_Base_Opcoes_Formatada["&amp;DU$1&amp;"]"),INDIRECT("PQ_Base_Opcoes_Formatada["&amp;DU$1&amp;"]")&lt;&gt;"")),"")</f>
        <v/>
      </c>
      <c r="DV2" t="str" cm="1">
        <f t="array" aca="1" ref="DV2" ca="1">IFERROR(_xlfn.UNIQUE(_xlfn._xlws.FILTER(INDIRECT("PQ_Base_Opcoes_Formatada["&amp;DV$1&amp;"]"),INDIRECT("PQ_Base_Opcoes_Formatada["&amp;DV$1&amp;"]")&lt;&gt;"")),"")</f>
        <v/>
      </c>
      <c r="DW2" t="str" cm="1">
        <f t="array" aca="1" ref="DW2" ca="1">IFERROR(_xlfn.UNIQUE(_xlfn._xlws.FILTER(INDIRECT("PQ_Base_Opcoes_Formatada["&amp;DW$1&amp;"]"),INDIRECT("PQ_Base_Opcoes_Formatada["&amp;DW$1&amp;"]")&lt;&gt;"")),"")</f>
        <v/>
      </c>
      <c r="DX2" t="str" cm="1">
        <f t="array" aca="1" ref="DX2" ca="1">IFERROR(_xlfn.UNIQUE(_xlfn._xlws.FILTER(INDIRECT("PQ_Base_Opcoes_Formatada["&amp;DX$1&amp;"]"),INDIRECT("PQ_Base_Opcoes_Formatada["&amp;DX$1&amp;"]")&lt;&gt;"")),"")</f>
        <v/>
      </c>
      <c r="DY2" t="str" cm="1">
        <f t="array" aca="1" ref="DY2" ca="1">IFERROR(_xlfn.UNIQUE(_xlfn._xlws.FILTER(INDIRECT("PQ_Base_Opcoes_Formatada["&amp;DY$1&amp;"]"),INDIRECT("PQ_Base_Opcoes_Formatada["&amp;DY$1&amp;"]")&lt;&gt;"")),"")</f>
        <v/>
      </c>
      <c r="DZ2" t="str" cm="1">
        <f t="array" aca="1" ref="DZ2" ca="1">IFERROR(_xlfn.UNIQUE(_xlfn._xlws.FILTER(INDIRECT("PQ_Base_Opcoes_Formatada["&amp;DZ$1&amp;"]"),INDIRECT("PQ_Base_Opcoes_Formatada["&amp;DZ$1&amp;"]")&lt;&gt;"")),"")</f>
        <v/>
      </c>
      <c r="EA2" t="str" cm="1">
        <f t="array" aca="1" ref="EA2" ca="1">IFERROR(_xlfn.UNIQUE(_xlfn._xlws.FILTER(INDIRECT("PQ_Base_Opcoes_Formatada["&amp;EA$1&amp;"]"),INDIRECT("PQ_Base_Opcoes_Formatada["&amp;EA$1&amp;"]")&lt;&gt;"")),"")</f>
        <v/>
      </c>
      <c r="EB2" t="str" cm="1">
        <f t="array" aca="1" ref="EB2" ca="1">IFERROR(_xlfn.UNIQUE(_xlfn._xlws.FILTER(INDIRECT("PQ_Base_Opcoes_Formatada["&amp;EB$1&amp;"]"),INDIRECT("PQ_Base_Opcoes_Formatada["&amp;EB$1&amp;"]")&lt;&gt;"")),"")</f>
        <v/>
      </c>
      <c r="EC2" t="str" cm="1">
        <f t="array" aca="1" ref="EC2" ca="1">IFERROR(_xlfn.UNIQUE(_xlfn._xlws.FILTER(INDIRECT("PQ_Base_Opcoes_Formatada["&amp;EC$1&amp;"]"),INDIRECT("PQ_Base_Opcoes_Formatada["&amp;EC$1&amp;"]")&lt;&gt;"")),"")</f>
        <v/>
      </c>
      <c r="ED2" t="str" cm="1">
        <f t="array" aca="1" ref="ED2" ca="1">IFERROR(_xlfn.UNIQUE(_xlfn._xlws.FILTER(INDIRECT("PQ_Base_Opcoes_Formatada["&amp;ED$1&amp;"]"),INDIRECT("PQ_Base_Opcoes_Formatada["&amp;ED$1&amp;"]")&lt;&gt;"")),"")</f>
        <v/>
      </c>
      <c r="EE2" t="str" cm="1">
        <f t="array" aca="1" ref="EE2" ca="1">IFERROR(_xlfn.UNIQUE(_xlfn._xlws.FILTER(INDIRECT("PQ_Base_Opcoes_Formatada["&amp;EE$1&amp;"]"),INDIRECT("PQ_Base_Opcoes_Formatada["&amp;EE$1&amp;"]")&lt;&gt;"")),"")</f>
        <v/>
      </c>
      <c r="EF2" t="str" cm="1">
        <f t="array" aca="1" ref="EF2" ca="1">IFERROR(_xlfn.UNIQUE(_xlfn._xlws.FILTER(INDIRECT("PQ_Base_Opcoes_Formatada["&amp;EF$1&amp;"]"),INDIRECT("PQ_Base_Opcoes_Formatada["&amp;EF$1&amp;"]")&lt;&gt;"")),"")</f>
        <v/>
      </c>
      <c r="EG2" t="str" cm="1">
        <f t="array" aca="1" ref="EG2" ca="1">IFERROR(_xlfn.UNIQUE(_xlfn._xlws.FILTER(INDIRECT("PQ_Base_Opcoes_Formatada["&amp;EG$1&amp;"]"),INDIRECT("PQ_Base_Opcoes_Formatada["&amp;EG$1&amp;"]")&lt;&gt;"")),"")</f>
        <v/>
      </c>
      <c r="EH2" t="str" cm="1">
        <f t="array" aca="1" ref="EH2" ca="1">IFERROR(_xlfn.UNIQUE(_xlfn._xlws.FILTER(INDIRECT("PQ_Base_Opcoes_Formatada["&amp;EH$1&amp;"]"),INDIRECT("PQ_Base_Opcoes_Formatada["&amp;EH$1&amp;"]")&lt;&gt;"")),"")</f>
        <v/>
      </c>
      <c r="EI2" t="str" cm="1">
        <f t="array" aca="1" ref="EI2" ca="1">IFERROR(_xlfn.UNIQUE(_xlfn._xlws.FILTER(INDIRECT("PQ_Base_Opcoes_Formatada["&amp;EI$1&amp;"]"),INDIRECT("PQ_Base_Opcoes_Formatada["&amp;EI$1&amp;"]")&lt;&gt;"")),"")</f>
        <v/>
      </c>
      <c r="EJ2" t="str" cm="1">
        <f t="array" aca="1" ref="EJ2" ca="1">IFERROR(_xlfn.UNIQUE(_xlfn._xlws.FILTER(INDIRECT("PQ_Base_Opcoes_Formatada["&amp;EJ$1&amp;"]"),INDIRECT("PQ_Base_Opcoes_Formatada["&amp;EJ$1&amp;"]")&lt;&gt;"")),"")</f>
        <v/>
      </c>
      <c r="EK2" t="str" cm="1">
        <f t="array" aca="1" ref="EK2" ca="1">IFERROR(_xlfn.UNIQUE(_xlfn._xlws.FILTER(INDIRECT("PQ_Base_Opcoes_Formatada["&amp;EK$1&amp;"]"),INDIRECT("PQ_Base_Opcoes_Formatada["&amp;EK$1&amp;"]")&lt;&gt;"")),"")</f>
        <v/>
      </c>
      <c r="EL2" t="str" cm="1">
        <f t="array" aca="1" ref="EL2" ca="1">IFERROR(_xlfn.UNIQUE(_xlfn._xlws.FILTER(INDIRECT("PQ_Base_Opcoes_Formatada["&amp;EL$1&amp;"]"),INDIRECT("PQ_Base_Opcoes_Formatada["&amp;EL$1&amp;"]")&lt;&gt;"")),"")</f>
        <v/>
      </c>
      <c r="EM2" t="str" cm="1">
        <f t="array" aca="1" ref="EM2" ca="1">IFERROR(_xlfn.UNIQUE(_xlfn._xlws.FILTER(INDIRECT("PQ_Base_Opcoes_Formatada["&amp;EM$1&amp;"]"),INDIRECT("PQ_Base_Opcoes_Formatada["&amp;EM$1&amp;"]")&lt;&gt;"")),"")</f>
        <v/>
      </c>
      <c r="EN2" t="str" cm="1">
        <f t="array" aca="1" ref="EN2" ca="1">IFERROR(_xlfn.UNIQUE(_xlfn._xlws.FILTER(INDIRECT("PQ_Base_Opcoes_Formatada["&amp;EN$1&amp;"]"),INDIRECT("PQ_Base_Opcoes_Formatada["&amp;EN$1&amp;"]")&lt;&gt;"")),"")</f>
        <v/>
      </c>
      <c r="EO2" t="str" cm="1">
        <f t="array" aca="1" ref="EO2" ca="1">IFERROR(_xlfn.UNIQUE(_xlfn._xlws.FILTER(INDIRECT("PQ_Base_Opcoes_Formatada["&amp;EO$1&amp;"]"),INDIRECT("PQ_Base_Opcoes_Formatada["&amp;EO$1&amp;"]")&lt;&gt;"")),"")</f>
        <v/>
      </c>
      <c r="EP2" t="str" cm="1">
        <f t="array" aca="1" ref="EP2" ca="1">IFERROR(_xlfn.UNIQUE(_xlfn._xlws.FILTER(INDIRECT("PQ_Base_Opcoes_Formatada["&amp;EP$1&amp;"]"),INDIRECT("PQ_Base_Opcoes_Formatada["&amp;EP$1&amp;"]")&lt;&gt;"")),"")</f>
        <v/>
      </c>
      <c r="EQ2" t="str" cm="1">
        <f t="array" aca="1" ref="EQ2" ca="1">IFERROR(_xlfn.UNIQUE(_xlfn._xlws.FILTER(INDIRECT("PQ_Base_Opcoes_Formatada["&amp;EQ$1&amp;"]"),INDIRECT("PQ_Base_Opcoes_Formatada["&amp;EQ$1&amp;"]")&lt;&gt;"")),"")</f>
        <v/>
      </c>
      <c r="ER2" t="str" cm="1">
        <f t="array" aca="1" ref="ER2" ca="1">IFERROR(_xlfn.UNIQUE(_xlfn._xlws.FILTER(INDIRECT("PQ_Base_Opcoes_Formatada["&amp;ER$1&amp;"]"),INDIRECT("PQ_Base_Opcoes_Formatada["&amp;ER$1&amp;"]")&lt;&gt;"")),"")</f>
        <v/>
      </c>
      <c r="ES2" t="str" cm="1">
        <f t="array" aca="1" ref="ES2" ca="1">IFERROR(_xlfn.UNIQUE(_xlfn._xlws.FILTER(INDIRECT("PQ_Base_Opcoes_Formatada["&amp;ES$1&amp;"]"),INDIRECT("PQ_Base_Opcoes_Formatada["&amp;ES$1&amp;"]")&lt;&gt;"")),"")</f>
        <v/>
      </c>
      <c r="ET2" t="str" cm="1">
        <f t="array" aca="1" ref="ET2" ca="1">IFERROR(_xlfn.UNIQUE(_xlfn._xlws.FILTER(INDIRECT("PQ_Base_Opcoes_Formatada["&amp;ET$1&amp;"]"),INDIRECT("PQ_Base_Opcoes_Formatada["&amp;ET$1&amp;"]")&lt;&gt;"")),"")</f>
        <v/>
      </c>
      <c r="EU2" t="str" cm="1">
        <f t="array" aca="1" ref="EU2" ca="1">IFERROR(_xlfn.UNIQUE(_xlfn._xlws.FILTER(INDIRECT("PQ_Base_Opcoes_Formatada["&amp;EU$1&amp;"]"),INDIRECT("PQ_Base_Opcoes_Formatada["&amp;EU$1&amp;"]")&lt;&gt;"")),"")</f>
        <v/>
      </c>
      <c r="EV2" t="str" cm="1">
        <f t="array" aca="1" ref="EV2" ca="1">IFERROR(_xlfn.UNIQUE(_xlfn._xlws.FILTER(INDIRECT("PQ_Base_Opcoes_Formatada["&amp;EV$1&amp;"]"),INDIRECT("PQ_Base_Opcoes_Formatada["&amp;EV$1&amp;"]")&lt;&gt;"")),"")</f>
        <v/>
      </c>
      <c r="EW2" t="str" cm="1">
        <f t="array" aca="1" ref="EW2" ca="1">IFERROR(_xlfn.UNIQUE(_xlfn._xlws.FILTER(INDIRECT("PQ_Base_Opcoes_Formatada["&amp;EW$1&amp;"]"),INDIRECT("PQ_Base_Opcoes_Formatada["&amp;EW$1&amp;"]")&lt;&gt;"")),"")</f>
        <v/>
      </c>
      <c r="EX2" t="str" cm="1">
        <f t="array" aca="1" ref="EX2" ca="1">IFERROR(_xlfn.UNIQUE(_xlfn._xlws.FILTER(INDIRECT("PQ_Base_Opcoes_Formatada["&amp;EX$1&amp;"]"),INDIRECT("PQ_Base_Opcoes_Formatada["&amp;EX$1&amp;"]")&lt;&gt;"")),"")</f>
        <v/>
      </c>
      <c r="EY2" t="str" cm="1">
        <f t="array" aca="1" ref="EY2" ca="1">IFERROR(_xlfn.UNIQUE(_xlfn._xlws.FILTER(INDIRECT("PQ_Base_Opcoes_Formatada["&amp;EY$1&amp;"]"),INDIRECT("PQ_Base_Opcoes_Formatada["&amp;EY$1&amp;"]")&lt;&gt;"")),"")</f>
        <v/>
      </c>
      <c r="EZ2" t="str" cm="1">
        <f t="array" aca="1" ref="EZ2" ca="1">IFERROR(_xlfn.UNIQUE(_xlfn._xlws.FILTER(INDIRECT("PQ_Base_Opcoes_Formatada["&amp;EZ$1&amp;"]"),INDIRECT("PQ_Base_Opcoes_Formatada["&amp;EZ$1&amp;"]")&lt;&gt;"")),"")</f>
        <v/>
      </c>
      <c r="FA2" t="str" cm="1">
        <f t="array" aca="1" ref="FA2" ca="1">IFERROR(_xlfn.UNIQUE(_xlfn._xlws.FILTER(INDIRECT("PQ_Base_Opcoes_Formatada["&amp;FA$1&amp;"]"),INDIRECT("PQ_Base_Opcoes_Formatada["&amp;FA$1&amp;"]")&lt;&gt;"")),"")</f>
        <v/>
      </c>
      <c r="FB2" t="str" cm="1">
        <f t="array" aca="1" ref="FB2" ca="1">IFERROR(_xlfn.UNIQUE(_xlfn._xlws.FILTER(INDIRECT("PQ_Base_Opcoes_Formatada["&amp;FB$1&amp;"]"),INDIRECT("PQ_Base_Opcoes_Formatada["&amp;FB$1&amp;"]")&lt;&gt;"")),"")</f>
        <v/>
      </c>
      <c r="FC2" t="str" cm="1">
        <f t="array" aca="1" ref="FC2" ca="1">IFERROR(_xlfn.UNIQUE(_xlfn._xlws.FILTER(INDIRECT("PQ_Base_Opcoes_Formatada["&amp;FC$1&amp;"]"),INDIRECT("PQ_Base_Opcoes_Formatada["&amp;FC$1&amp;"]")&lt;&gt;"")),"")</f>
        <v/>
      </c>
      <c r="FD2" t="str" cm="1">
        <f t="array" aca="1" ref="FD2" ca="1">IFERROR(_xlfn.UNIQUE(_xlfn._xlws.FILTER(INDIRECT("PQ_Base_Opcoes_Formatada["&amp;FD$1&amp;"]"),INDIRECT("PQ_Base_Opcoes_Formatada["&amp;FD$1&amp;"]")&lt;&gt;"")),"")</f>
        <v/>
      </c>
      <c r="FE2" t="str" cm="1">
        <f t="array" aca="1" ref="FE2" ca="1">IFERROR(_xlfn.UNIQUE(_xlfn._xlws.FILTER(INDIRECT("PQ_Base_Opcoes_Formatada["&amp;FE$1&amp;"]"),INDIRECT("PQ_Base_Opcoes_Formatada["&amp;FE$1&amp;"]")&lt;&gt;"")),"")</f>
        <v/>
      </c>
      <c r="FF2" t="str" cm="1">
        <f t="array" aca="1" ref="FF2" ca="1">IFERROR(_xlfn.UNIQUE(_xlfn._xlws.FILTER(INDIRECT("PQ_Base_Opcoes_Formatada["&amp;FF$1&amp;"]"),INDIRECT("PQ_Base_Opcoes_Formatada["&amp;FF$1&amp;"]")&lt;&gt;"")),"")</f>
        <v/>
      </c>
      <c r="FG2" t="str" cm="1">
        <f t="array" aca="1" ref="FG2" ca="1">IFERROR(_xlfn.UNIQUE(_xlfn._xlws.FILTER(INDIRECT("PQ_Base_Opcoes_Formatada["&amp;FG$1&amp;"]"),INDIRECT("PQ_Base_Opcoes_Formatada["&amp;FG$1&amp;"]")&lt;&gt;"")),"")</f>
        <v/>
      </c>
      <c r="FH2" t="str" cm="1">
        <f t="array" aca="1" ref="FH2" ca="1">IFERROR(_xlfn.UNIQUE(_xlfn._xlws.FILTER(INDIRECT("PQ_Base_Opcoes_Formatada["&amp;FH$1&amp;"]"),INDIRECT("PQ_Base_Opcoes_Formatada["&amp;FH$1&amp;"]")&lt;&gt;"")),"")</f>
        <v/>
      </c>
      <c r="FI2" t="str" cm="1">
        <f t="array" aca="1" ref="FI2" ca="1">IFERROR(_xlfn.UNIQUE(_xlfn._xlws.FILTER(INDIRECT("PQ_Base_Opcoes_Formatada["&amp;FI$1&amp;"]"),INDIRECT("PQ_Base_Opcoes_Formatada["&amp;FI$1&amp;"]")&lt;&gt;"")),"")</f>
        <v/>
      </c>
      <c r="FJ2" t="str" cm="1">
        <f t="array" aca="1" ref="FJ2" ca="1">IFERROR(_xlfn.UNIQUE(_xlfn._xlws.FILTER(INDIRECT("PQ_Base_Opcoes_Formatada["&amp;FJ$1&amp;"]"),INDIRECT("PQ_Base_Opcoes_Formatada["&amp;FJ$1&amp;"]")&lt;&gt;"")),"")</f>
        <v/>
      </c>
      <c r="FK2" t="str" cm="1">
        <f t="array" aca="1" ref="FK2" ca="1">IFERROR(_xlfn.UNIQUE(_xlfn._xlws.FILTER(INDIRECT("PQ_Base_Opcoes_Formatada["&amp;FK$1&amp;"]"),INDIRECT("PQ_Base_Opcoes_Formatada["&amp;FK$1&amp;"]")&lt;&gt;"")),"")</f>
        <v/>
      </c>
      <c r="FL2" t="str" cm="1">
        <f t="array" aca="1" ref="FL2" ca="1">IFERROR(_xlfn.UNIQUE(_xlfn._xlws.FILTER(INDIRECT("PQ_Base_Opcoes_Formatada["&amp;FL$1&amp;"]"),INDIRECT("PQ_Base_Opcoes_Formatada["&amp;FL$1&amp;"]")&lt;&gt;"")),"")</f>
        <v/>
      </c>
      <c r="FM2" t="str" cm="1">
        <f t="array" aca="1" ref="FM2" ca="1">IFERROR(_xlfn.UNIQUE(_xlfn._xlws.FILTER(INDIRECT("PQ_Base_Opcoes_Formatada["&amp;FM$1&amp;"]"),INDIRECT("PQ_Base_Opcoes_Formatada["&amp;FM$1&amp;"]")&lt;&gt;"")),"")</f>
        <v/>
      </c>
      <c r="FN2" t="str" cm="1">
        <f t="array" aca="1" ref="FN2" ca="1">IFERROR(_xlfn.UNIQUE(_xlfn._xlws.FILTER(INDIRECT("PQ_Base_Opcoes_Formatada["&amp;FN$1&amp;"]"),INDIRECT("PQ_Base_Opcoes_Formatada["&amp;FN$1&amp;"]")&lt;&gt;"")),"")</f>
        <v/>
      </c>
      <c r="FO2" t="str" cm="1">
        <f t="array" aca="1" ref="FO2" ca="1">IFERROR(_xlfn.UNIQUE(_xlfn._xlws.FILTER(INDIRECT("PQ_Base_Opcoes_Formatada["&amp;FO$1&amp;"]"),INDIRECT("PQ_Base_Opcoes_Formatada["&amp;FO$1&amp;"]")&lt;&gt;"")),"")</f>
        <v/>
      </c>
      <c r="FP2" t="str" cm="1">
        <f t="array" aca="1" ref="FP2" ca="1">IFERROR(_xlfn.UNIQUE(_xlfn._xlws.FILTER(INDIRECT("PQ_Base_Opcoes_Formatada["&amp;FP$1&amp;"]"),INDIRECT("PQ_Base_Opcoes_Formatada["&amp;FP$1&amp;"]")&lt;&gt;"")),"")</f>
        <v/>
      </c>
      <c r="FQ2" t="str" cm="1">
        <f t="array" aca="1" ref="FQ2" ca="1">IFERROR(_xlfn.UNIQUE(_xlfn._xlws.FILTER(INDIRECT("PQ_Base_Opcoes_Formatada["&amp;FQ$1&amp;"]"),INDIRECT("PQ_Base_Opcoes_Formatada["&amp;FQ$1&amp;"]")&lt;&gt;"")),"")</f>
        <v/>
      </c>
      <c r="FR2" t="str" cm="1">
        <f t="array" aca="1" ref="FR2" ca="1">IFERROR(_xlfn.UNIQUE(_xlfn._xlws.FILTER(INDIRECT("PQ_Base_Opcoes_Formatada["&amp;FR$1&amp;"]"),INDIRECT("PQ_Base_Opcoes_Formatada["&amp;FR$1&amp;"]")&lt;&gt;"")),"")</f>
        <v/>
      </c>
      <c r="FS2" t="str" cm="1">
        <f t="array" aca="1" ref="FS2" ca="1">IFERROR(_xlfn.UNIQUE(_xlfn._xlws.FILTER(INDIRECT("PQ_Base_Opcoes_Formatada["&amp;FS$1&amp;"]"),INDIRECT("PQ_Base_Opcoes_Formatada["&amp;FS$1&amp;"]")&lt;&gt;"")),"")</f>
        <v/>
      </c>
      <c r="FT2" t="str" cm="1">
        <f t="array" aca="1" ref="FT2" ca="1">IFERROR(_xlfn.UNIQUE(_xlfn._xlws.FILTER(INDIRECT("PQ_Base_Opcoes_Formatada["&amp;FT$1&amp;"]"),INDIRECT("PQ_Base_Opcoes_Formatada["&amp;FT$1&amp;"]")&lt;&gt;"")),"")</f>
        <v/>
      </c>
      <c r="FU2" t="str" cm="1">
        <f t="array" aca="1" ref="FU2" ca="1">IFERROR(_xlfn.UNIQUE(_xlfn._xlws.FILTER(INDIRECT("PQ_Base_Opcoes_Formatada["&amp;FU$1&amp;"]"),INDIRECT("PQ_Base_Opcoes_Formatada["&amp;FU$1&amp;"]")&lt;&gt;"")),"")</f>
        <v/>
      </c>
      <c r="FV2" t="str" cm="1">
        <f t="array" aca="1" ref="FV2" ca="1">IFERROR(_xlfn.UNIQUE(_xlfn._xlws.FILTER(INDIRECT("PQ_Base_Opcoes_Formatada["&amp;FV$1&amp;"]"),INDIRECT("PQ_Base_Opcoes_Formatada["&amp;FV$1&amp;"]")&lt;&gt;"")),"")</f>
        <v/>
      </c>
      <c r="FW2" t="str" cm="1">
        <f t="array" aca="1" ref="FW2" ca="1">IFERROR(_xlfn.UNIQUE(_xlfn._xlws.FILTER(INDIRECT("PQ_Base_Opcoes_Formatada["&amp;FW$1&amp;"]"),INDIRECT("PQ_Base_Opcoes_Formatada["&amp;FW$1&amp;"]")&lt;&gt;"")),"")</f>
        <v/>
      </c>
      <c r="FX2" t="str" cm="1">
        <f t="array" aca="1" ref="FX2" ca="1">IFERROR(_xlfn.UNIQUE(_xlfn._xlws.FILTER(INDIRECT("PQ_Base_Opcoes_Formatada["&amp;FX$1&amp;"]"),INDIRECT("PQ_Base_Opcoes_Formatada["&amp;FX$1&amp;"]")&lt;&gt;"")),"")</f>
        <v/>
      </c>
      <c r="FY2" t="str" cm="1">
        <f t="array" aca="1" ref="FY2" ca="1">IFERROR(_xlfn.UNIQUE(_xlfn._xlws.FILTER(INDIRECT("PQ_Base_Opcoes_Formatada["&amp;FY$1&amp;"]"),INDIRECT("PQ_Base_Opcoes_Formatada["&amp;FY$1&amp;"]")&lt;&gt;"")),"")</f>
        <v/>
      </c>
      <c r="FZ2" t="str" cm="1">
        <f t="array" aca="1" ref="FZ2" ca="1">IFERROR(_xlfn.UNIQUE(_xlfn._xlws.FILTER(INDIRECT("PQ_Base_Opcoes_Formatada["&amp;FZ$1&amp;"]"),INDIRECT("PQ_Base_Opcoes_Formatada["&amp;FZ$1&amp;"]")&lt;&gt;"")),"")</f>
        <v/>
      </c>
      <c r="GA2" t="str" cm="1">
        <f t="array" aca="1" ref="GA2" ca="1">IFERROR(_xlfn.UNIQUE(_xlfn._xlws.FILTER(INDIRECT("PQ_Base_Opcoes_Formatada["&amp;GA$1&amp;"]"),INDIRECT("PQ_Base_Opcoes_Formatada["&amp;GA$1&amp;"]")&lt;&gt;"")),"")</f>
        <v/>
      </c>
      <c r="GB2" t="str" cm="1">
        <f t="array" aca="1" ref="GB2" ca="1">IFERROR(_xlfn.UNIQUE(_xlfn._xlws.FILTER(INDIRECT("PQ_Base_Opcoes_Formatada["&amp;GB$1&amp;"]"),INDIRECT("PQ_Base_Opcoes_Formatada["&amp;GB$1&amp;"]")&lt;&gt;"")),"")</f>
        <v/>
      </c>
      <c r="GC2" t="str" cm="1">
        <f t="array" aca="1" ref="GC2" ca="1">IFERROR(_xlfn.UNIQUE(_xlfn._xlws.FILTER(INDIRECT("PQ_Base_Opcoes_Formatada["&amp;GC$1&amp;"]"),INDIRECT("PQ_Base_Opcoes_Formatada["&amp;GC$1&amp;"]")&lt;&gt;"")),"")</f>
        <v/>
      </c>
      <c r="GD2" t="str" cm="1">
        <f t="array" aca="1" ref="GD2" ca="1">IFERROR(_xlfn.UNIQUE(_xlfn._xlws.FILTER(INDIRECT("PQ_Base_Opcoes_Formatada["&amp;GD$1&amp;"]"),INDIRECT("PQ_Base_Opcoes_Formatada["&amp;GD$1&amp;"]")&lt;&gt;"")),"")</f>
        <v/>
      </c>
      <c r="GE2" t="str" cm="1">
        <f t="array" aca="1" ref="GE2" ca="1">IFERROR(_xlfn.UNIQUE(_xlfn._xlws.FILTER(INDIRECT("PQ_Base_Opcoes_Formatada["&amp;GE$1&amp;"]"),INDIRECT("PQ_Base_Opcoes_Formatada["&amp;GE$1&amp;"]")&lt;&gt;"")),"")</f>
        <v/>
      </c>
      <c r="GF2" t="str" cm="1">
        <f t="array" aca="1" ref="GF2" ca="1">IFERROR(_xlfn.UNIQUE(_xlfn._xlws.FILTER(INDIRECT("PQ_Base_Opcoes_Formatada["&amp;GF$1&amp;"]"),INDIRECT("PQ_Base_Opcoes_Formatada["&amp;GF$1&amp;"]")&lt;&gt;"")),"")</f>
        <v/>
      </c>
      <c r="GG2" t="str" cm="1">
        <f t="array" aca="1" ref="GG2" ca="1">IFERROR(_xlfn.UNIQUE(_xlfn._xlws.FILTER(INDIRECT("PQ_Base_Opcoes_Formatada["&amp;GG$1&amp;"]"),INDIRECT("PQ_Base_Opcoes_Formatada["&amp;GG$1&amp;"]")&lt;&gt;"")),"")</f>
        <v/>
      </c>
      <c r="GH2" t="str" cm="1">
        <f t="array" aca="1" ref="GH2" ca="1">IFERROR(_xlfn.UNIQUE(_xlfn._xlws.FILTER(INDIRECT("PQ_Base_Opcoes_Formatada["&amp;GH$1&amp;"]"),INDIRECT("PQ_Base_Opcoes_Formatada["&amp;GH$1&amp;"]")&lt;&gt;"")),"")</f>
        <v/>
      </c>
      <c r="GI2" t="str" cm="1">
        <f t="array" aca="1" ref="GI2" ca="1">IFERROR(_xlfn.UNIQUE(_xlfn._xlws.FILTER(INDIRECT("PQ_Base_Opcoes_Formatada["&amp;GI$1&amp;"]"),INDIRECT("PQ_Base_Opcoes_Formatada["&amp;GI$1&amp;"]")&lt;&gt;"")),"")</f>
        <v/>
      </c>
      <c r="GJ2" t="str" cm="1">
        <f t="array" aca="1" ref="GJ2" ca="1">IFERROR(_xlfn.UNIQUE(_xlfn._xlws.FILTER(INDIRECT("PQ_Base_Opcoes_Formatada["&amp;GJ$1&amp;"]"),INDIRECT("PQ_Base_Opcoes_Formatada["&amp;GJ$1&amp;"]")&lt;&gt;"")),"")</f>
        <v/>
      </c>
      <c r="GK2" t="str" cm="1">
        <f t="array" aca="1" ref="GK2" ca="1">IFERROR(_xlfn.UNIQUE(_xlfn._xlws.FILTER(INDIRECT("PQ_Base_Opcoes_Formatada["&amp;GK$1&amp;"]"),INDIRECT("PQ_Base_Opcoes_Formatada["&amp;GK$1&amp;"]")&lt;&gt;"")),"")</f>
        <v/>
      </c>
      <c r="GL2" t="str" cm="1">
        <f t="array" aca="1" ref="GL2" ca="1">IFERROR(_xlfn.UNIQUE(_xlfn._xlws.FILTER(INDIRECT("PQ_Base_Opcoes_Formatada["&amp;GL$1&amp;"]"),INDIRECT("PQ_Base_Opcoes_Formatada["&amp;GL$1&amp;"]")&lt;&gt;"")),"")</f>
        <v/>
      </c>
      <c r="GM2" t="str" cm="1">
        <f t="array" aca="1" ref="GM2" ca="1">IFERROR(_xlfn.UNIQUE(_xlfn._xlws.FILTER(INDIRECT("PQ_Base_Opcoes_Formatada["&amp;GM$1&amp;"]"),INDIRECT("PQ_Base_Opcoes_Formatada["&amp;GM$1&amp;"]")&lt;&gt;"")),"")</f>
        <v/>
      </c>
      <c r="GN2" t="str" cm="1">
        <f t="array" aca="1" ref="GN2" ca="1">IFERROR(_xlfn.UNIQUE(_xlfn._xlws.FILTER(INDIRECT("PQ_Base_Opcoes_Formatada["&amp;GN$1&amp;"]"),INDIRECT("PQ_Base_Opcoes_Formatada["&amp;GN$1&amp;"]")&lt;&gt;"")),"")</f>
        <v/>
      </c>
      <c r="GO2" t="str" cm="1">
        <f t="array" aca="1" ref="GO2" ca="1">IFERROR(_xlfn.UNIQUE(_xlfn._xlws.FILTER(INDIRECT("PQ_Base_Opcoes_Formatada["&amp;GO$1&amp;"]"),INDIRECT("PQ_Base_Opcoes_Formatada["&amp;GO$1&amp;"]")&lt;&gt;"")),"")</f>
        <v/>
      </c>
      <c r="GP2" t="str" cm="1">
        <f t="array" aca="1" ref="GP2" ca="1">IFERROR(_xlfn.UNIQUE(_xlfn._xlws.FILTER(INDIRECT("PQ_Base_Opcoes_Formatada["&amp;GP$1&amp;"]"),INDIRECT("PQ_Base_Opcoes_Formatada["&amp;GP$1&amp;"]")&lt;&gt;"")),"")</f>
        <v/>
      </c>
      <c r="GQ2" t="str" cm="1">
        <f t="array" aca="1" ref="GQ2" ca="1">IFERROR(_xlfn.UNIQUE(_xlfn._xlws.FILTER(INDIRECT("PQ_Base_Opcoes_Formatada["&amp;GQ$1&amp;"]"),INDIRECT("PQ_Base_Opcoes_Formatada["&amp;GQ$1&amp;"]")&lt;&gt;"")),"")</f>
        <v/>
      </c>
      <c r="GR2" t="str" cm="1">
        <f t="array" aca="1" ref="GR2" ca="1">IFERROR(_xlfn.UNIQUE(_xlfn._xlws.FILTER(INDIRECT("PQ_Base_Opcoes_Formatada["&amp;GR$1&amp;"]"),INDIRECT("PQ_Base_Opcoes_Formatada["&amp;GR$1&amp;"]")&lt;&gt;"")),"")</f>
        <v/>
      </c>
      <c r="GS2" t="str" cm="1">
        <f t="array" aca="1" ref="GS2" ca="1">IFERROR(_xlfn.UNIQUE(_xlfn._xlws.FILTER(INDIRECT("PQ_Base_Opcoes_Formatada["&amp;GS$1&amp;"]"),INDIRECT("PQ_Base_Opcoes_Formatada["&amp;GS$1&amp;"]")&lt;&gt;"")),"")</f>
        <v/>
      </c>
      <c r="GT2" t="str" cm="1">
        <f t="array" aca="1" ref="GT2" ca="1">IFERROR(_xlfn.UNIQUE(_xlfn._xlws.FILTER(INDIRECT("PQ_Base_Opcoes_Formatada["&amp;GT$1&amp;"]"),INDIRECT("PQ_Base_Opcoes_Formatada["&amp;GT$1&amp;"]")&lt;&gt;"")),"")</f>
        <v/>
      </c>
      <c r="GU2" t="str" cm="1">
        <f t="array" aca="1" ref="GU2" ca="1">IFERROR(_xlfn.UNIQUE(_xlfn._xlws.FILTER(INDIRECT("PQ_Base_Opcoes_Formatada["&amp;GU$1&amp;"]"),INDIRECT("PQ_Base_Opcoes_Formatada["&amp;GU$1&amp;"]")&lt;&gt;"")),"")</f>
        <v/>
      </c>
      <c r="GV2" t="str" cm="1">
        <f t="array" aca="1" ref="GV2" ca="1">IFERROR(_xlfn.UNIQUE(_xlfn._xlws.FILTER(INDIRECT("PQ_Base_Opcoes_Formatada["&amp;GV$1&amp;"]"),INDIRECT("PQ_Base_Opcoes_Formatada["&amp;GV$1&amp;"]")&lt;&gt;"")),"")</f>
        <v/>
      </c>
      <c r="GW2" t="str" cm="1">
        <f t="array" aca="1" ref="GW2" ca="1">IFERROR(_xlfn.UNIQUE(_xlfn._xlws.FILTER(INDIRECT("PQ_Base_Opcoes_Formatada["&amp;GW$1&amp;"]"),INDIRECT("PQ_Base_Opcoes_Formatada["&amp;GW$1&amp;"]")&lt;&gt;"")),"")</f>
        <v/>
      </c>
      <c r="GX2" t="str" cm="1">
        <f t="array" aca="1" ref="GX2" ca="1">IFERROR(_xlfn.UNIQUE(_xlfn._xlws.FILTER(INDIRECT("PQ_Base_Opcoes_Formatada["&amp;GX$1&amp;"]"),INDIRECT("PQ_Base_Opcoes_Formatada["&amp;GX$1&amp;"]")&lt;&gt;"")),"")</f>
        <v/>
      </c>
      <c r="GY2" t="str" cm="1">
        <f t="array" aca="1" ref="GY2" ca="1">IFERROR(_xlfn.UNIQUE(_xlfn._xlws.FILTER(INDIRECT("PQ_Base_Opcoes_Formatada["&amp;GY$1&amp;"]"),INDIRECT("PQ_Base_Opcoes_Formatada["&amp;GY$1&amp;"]")&lt;&gt;"")),"")</f>
        <v/>
      </c>
      <c r="GZ2" t="str" cm="1">
        <f t="array" aca="1" ref="GZ2" ca="1">IFERROR(_xlfn.UNIQUE(_xlfn._xlws.FILTER(INDIRECT("PQ_Base_Opcoes_Formatada["&amp;GZ$1&amp;"]"),INDIRECT("PQ_Base_Opcoes_Formatada["&amp;GZ$1&amp;"]")&lt;&gt;"")),"")</f>
        <v/>
      </c>
      <c r="HA2" t="str" cm="1">
        <f t="array" aca="1" ref="HA2" ca="1">IFERROR(_xlfn.UNIQUE(_xlfn._xlws.FILTER(INDIRECT("PQ_Base_Opcoes_Formatada["&amp;HA$1&amp;"]"),INDIRECT("PQ_Base_Opcoes_Formatada["&amp;HA$1&amp;"]")&lt;&gt;"")),"")</f>
        <v/>
      </c>
      <c r="HB2" t="str" cm="1">
        <f t="array" aca="1" ref="HB2" ca="1">IFERROR(_xlfn.UNIQUE(_xlfn._xlws.FILTER(INDIRECT("PQ_Base_Opcoes_Formatada["&amp;HB$1&amp;"]"),INDIRECT("PQ_Base_Opcoes_Formatada["&amp;HB$1&amp;"]")&lt;&gt;"")),"")</f>
        <v/>
      </c>
      <c r="HC2" t="str" cm="1">
        <f t="array" aca="1" ref="HC2" ca="1">IFERROR(_xlfn.UNIQUE(_xlfn._xlws.FILTER(INDIRECT("PQ_Base_Opcoes_Formatada["&amp;HC$1&amp;"]"),INDIRECT("PQ_Base_Opcoes_Formatada["&amp;HC$1&amp;"]")&lt;&gt;"")),"")</f>
        <v/>
      </c>
      <c r="HD2" t="str" cm="1">
        <f t="array" aca="1" ref="HD2" ca="1">IFERROR(_xlfn.UNIQUE(_xlfn._xlws.FILTER(INDIRECT("PQ_Base_Opcoes_Formatada["&amp;HD$1&amp;"]"),INDIRECT("PQ_Base_Opcoes_Formatada["&amp;HD$1&amp;"]")&lt;&gt;"")),"")</f>
        <v/>
      </c>
      <c r="HE2" t="str" cm="1">
        <f t="array" aca="1" ref="HE2" ca="1">IFERROR(_xlfn.UNIQUE(_xlfn._xlws.FILTER(INDIRECT("PQ_Base_Opcoes_Formatada["&amp;HE$1&amp;"]"),INDIRECT("PQ_Base_Opcoes_Formatada["&amp;HE$1&amp;"]")&lt;&gt;"")),"")</f>
        <v/>
      </c>
      <c r="HF2" t="str" cm="1">
        <f t="array" aca="1" ref="HF2" ca="1">IFERROR(_xlfn.UNIQUE(_xlfn._xlws.FILTER(INDIRECT("PQ_Base_Opcoes_Formatada["&amp;HF$1&amp;"]"),INDIRECT("PQ_Base_Opcoes_Formatada["&amp;HF$1&amp;"]")&lt;&gt;"")),"")</f>
        <v/>
      </c>
      <c r="HG2" t="str" cm="1">
        <f t="array" aca="1" ref="HG2" ca="1">IFERROR(_xlfn.UNIQUE(_xlfn._xlws.FILTER(INDIRECT("PQ_Base_Opcoes_Formatada["&amp;HG$1&amp;"]"),INDIRECT("PQ_Base_Opcoes_Formatada["&amp;HG$1&amp;"]")&lt;&gt;"")),"")</f>
        <v/>
      </c>
      <c r="HH2" t="str" cm="1">
        <f t="array" aca="1" ref="HH2" ca="1">IFERROR(_xlfn.UNIQUE(_xlfn._xlws.FILTER(INDIRECT("PQ_Base_Opcoes_Formatada["&amp;HH$1&amp;"]"),INDIRECT("PQ_Base_Opcoes_Formatada["&amp;HH$1&amp;"]")&lt;&gt;"")),"")</f>
        <v/>
      </c>
      <c r="HI2" t="str" cm="1">
        <f t="array" aca="1" ref="HI2" ca="1">IFERROR(_xlfn.UNIQUE(_xlfn._xlws.FILTER(INDIRECT("PQ_Base_Opcoes_Formatada["&amp;HI$1&amp;"]"),INDIRECT("PQ_Base_Opcoes_Formatada["&amp;HI$1&amp;"]")&lt;&gt;"")),"")</f>
        <v/>
      </c>
      <c r="HJ2" t="str" cm="1">
        <f t="array" aca="1" ref="HJ2" ca="1">IFERROR(_xlfn.UNIQUE(_xlfn._xlws.FILTER(INDIRECT("PQ_Base_Opcoes_Formatada["&amp;HJ$1&amp;"]"),INDIRECT("PQ_Base_Opcoes_Formatada["&amp;HJ$1&amp;"]")&lt;&gt;"")),"")</f>
        <v/>
      </c>
      <c r="HK2" t="str" cm="1">
        <f t="array" aca="1" ref="HK2" ca="1">IFERROR(_xlfn.UNIQUE(_xlfn._xlws.FILTER(INDIRECT("PQ_Base_Opcoes_Formatada["&amp;HK$1&amp;"]"),INDIRECT("PQ_Base_Opcoes_Formatada["&amp;HK$1&amp;"]")&lt;&gt;"")),"")</f>
        <v/>
      </c>
      <c r="HL2" t="str" cm="1">
        <f t="array" aca="1" ref="HL2" ca="1">IFERROR(_xlfn.UNIQUE(_xlfn._xlws.FILTER(INDIRECT("PQ_Base_Opcoes_Formatada["&amp;HL$1&amp;"]"),INDIRECT("PQ_Base_Opcoes_Formatada["&amp;HL$1&amp;"]")&lt;&gt;"")),"")</f>
        <v/>
      </c>
      <c r="HM2" t="str" cm="1">
        <f t="array" aca="1" ref="HM2" ca="1">IFERROR(_xlfn.UNIQUE(_xlfn._xlws.FILTER(INDIRECT("PQ_Base_Opcoes_Formatada["&amp;HM$1&amp;"]"),INDIRECT("PQ_Base_Opcoes_Formatada["&amp;HM$1&amp;"]")&lt;&gt;"")),"")</f>
        <v/>
      </c>
      <c r="HN2" t="str" cm="1">
        <f t="array" aca="1" ref="HN2" ca="1">IFERROR(_xlfn.UNIQUE(_xlfn._xlws.FILTER(INDIRECT("PQ_Base_Opcoes_Formatada["&amp;HN$1&amp;"]"),INDIRECT("PQ_Base_Opcoes_Formatada["&amp;HN$1&amp;"]")&lt;&gt;"")),"")</f>
        <v/>
      </c>
      <c r="HO2" t="str" cm="1">
        <f t="array" aca="1" ref="HO2" ca="1">IFERROR(_xlfn.UNIQUE(_xlfn._xlws.FILTER(INDIRECT("PQ_Base_Opcoes_Formatada["&amp;HO$1&amp;"]"),INDIRECT("PQ_Base_Opcoes_Formatada["&amp;HO$1&amp;"]")&lt;&gt;"")),"")</f>
        <v/>
      </c>
      <c r="HP2" t="str" cm="1">
        <f t="array" aca="1" ref="HP2" ca="1">IFERROR(_xlfn.UNIQUE(_xlfn._xlws.FILTER(INDIRECT("PQ_Base_Opcoes_Formatada["&amp;HP$1&amp;"]"),INDIRECT("PQ_Base_Opcoes_Formatada["&amp;HP$1&amp;"]")&lt;&gt;"")),"")</f>
        <v/>
      </c>
      <c r="HQ2" t="str" cm="1">
        <f t="array" aca="1" ref="HQ2" ca="1">IFERROR(_xlfn.UNIQUE(_xlfn._xlws.FILTER(INDIRECT("PQ_Base_Opcoes_Formatada["&amp;HQ$1&amp;"]"),INDIRECT("PQ_Base_Opcoes_Formatada["&amp;HQ$1&amp;"]")&lt;&gt;"")),"")</f>
        <v/>
      </c>
      <c r="HR2" t="str" cm="1">
        <f t="array" aca="1" ref="HR2" ca="1">IFERROR(_xlfn.UNIQUE(_xlfn._xlws.FILTER(INDIRECT("PQ_Base_Opcoes_Formatada["&amp;HR$1&amp;"]"),INDIRECT("PQ_Base_Opcoes_Formatada["&amp;HR$1&amp;"]")&lt;&gt;"")),"")</f>
        <v/>
      </c>
      <c r="HS2" t="str" cm="1">
        <f t="array" aca="1" ref="HS2" ca="1">IFERROR(_xlfn.UNIQUE(_xlfn._xlws.FILTER(INDIRECT("PQ_Base_Opcoes_Formatada["&amp;HS$1&amp;"]"),INDIRECT("PQ_Base_Opcoes_Formatada["&amp;HS$1&amp;"]")&lt;&gt;"")),"")</f>
        <v/>
      </c>
      <c r="HT2" t="str" cm="1">
        <f t="array" aca="1" ref="HT2" ca="1">IFERROR(_xlfn.UNIQUE(_xlfn._xlws.FILTER(INDIRECT("PQ_Base_Opcoes_Formatada["&amp;HT$1&amp;"]"),INDIRECT("PQ_Base_Opcoes_Formatada["&amp;HT$1&amp;"]")&lt;&gt;"")),"")</f>
        <v/>
      </c>
      <c r="HU2" t="str" cm="1">
        <f t="array" aca="1" ref="HU2" ca="1">IFERROR(_xlfn.UNIQUE(_xlfn._xlws.FILTER(INDIRECT("PQ_Base_Opcoes_Formatada["&amp;HU$1&amp;"]"),INDIRECT("PQ_Base_Opcoes_Formatada["&amp;HU$1&amp;"]")&lt;&gt;"")),"")</f>
        <v/>
      </c>
      <c r="HV2" t="str" cm="1">
        <f t="array" aca="1" ref="HV2" ca="1">IFERROR(_xlfn.UNIQUE(_xlfn._xlws.FILTER(INDIRECT("PQ_Base_Opcoes_Formatada["&amp;HV$1&amp;"]"),INDIRECT("PQ_Base_Opcoes_Formatada["&amp;HV$1&amp;"]")&lt;&gt;"")),"")</f>
        <v/>
      </c>
      <c r="HW2" t="str" cm="1">
        <f t="array" aca="1" ref="HW2" ca="1">IFERROR(_xlfn.UNIQUE(_xlfn._xlws.FILTER(INDIRECT("PQ_Base_Opcoes_Formatada["&amp;HW$1&amp;"]"),INDIRECT("PQ_Base_Opcoes_Formatada["&amp;HW$1&amp;"]")&lt;&gt;"")),"")</f>
        <v/>
      </c>
      <c r="HX2" t="str" cm="1">
        <f t="array" aca="1" ref="HX2" ca="1">IFERROR(_xlfn.UNIQUE(_xlfn._xlws.FILTER(INDIRECT("PQ_Base_Opcoes_Formatada["&amp;HX$1&amp;"]"),INDIRECT("PQ_Base_Opcoes_Formatada["&amp;HX$1&amp;"]")&lt;&gt;"")),"")</f>
        <v/>
      </c>
      <c r="HY2" t="str" cm="1">
        <f t="array" aca="1" ref="HY2" ca="1">IFERROR(_xlfn.UNIQUE(_xlfn._xlws.FILTER(INDIRECT("PQ_Base_Opcoes_Formatada["&amp;HY$1&amp;"]"),INDIRECT("PQ_Base_Opcoes_Formatada["&amp;HY$1&amp;"]")&lt;&gt;"")),"")</f>
        <v/>
      </c>
      <c r="HZ2" t="str" cm="1">
        <f t="array" aca="1" ref="HZ2" ca="1">IFERROR(_xlfn.UNIQUE(_xlfn._xlws.FILTER(INDIRECT("PQ_Base_Opcoes_Formatada["&amp;HZ$1&amp;"]"),INDIRECT("PQ_Base_Opcoes_Formatada["&amp;HZ$1&amp;"]")&lt;&gt;"")),"")</f>
        <v/>
      </c>
      <c r="IA2" t="str" cm="1">
        <f t="array" aca="1" ref="IA2" ca="1">IFERROR(_xlfn.UNIQUE(_xlfn._xlws.FILTER(INDIRECT("PQ_Base_Opcoes_Formatada["&amp;IA$1&amp;"]"),INDIRECT("PQ_Base_Opcoes_Formatada["&amp;IA$1&amp;"]")&lt;&gt;"")),"")</f>
        <v/>
      </c>
      <c r="IB2" t="str" cm="1">
        <f t="array" aca="1" ref="IB2" ca="1">IFERROR(_xlfn.UNIQUE(_xlfn._xlws.FILTER(INDIRECT("PQ_Base_Opcoes_Formatada["&amp;IB$1&amp;"]"),INDIRECT("PQ_Base_Opcoes_Formatada["&amp;IB$1&amp;"]")&lt;&gt;"")),"")</f>
        <v/>
      </c>
      <c r="IC2" t="str" cm="1">
        <f t="array" aca="1" ref="IC2" ca="1">IFERROR(_xlfn.UNIQUE(_xlfn._xlws.FILTER(INDIRECT("PQ_Base_Opcoes_Formatada["&amp;IC$1&amp;"]"),INDIRECT("PQ_Base_Opcoes_Formatada["&amp;IC$1&amp;"]")&lt;&gt;"")),"")</f>
        <v/>
      </c>
      <c r="ID2" t="str" cm="1">
        <f t="array" aca="1" ref="ID2" ca="1">IFERROR(_xlfn.UNIQUE(_xlfn._xlws.FILTER(INDIRECT("PQ_Base_Opcoes_Formatada["&amp;ID$1&amp;"]"),INDIRECT("PQ_Base_Opcoes_Formatada["&amp;ID$1&amp;"]")&lt;&gt;"")),"")</f>
        <v/>
      </c>
      <c r="IE2" t="str" cm="1">
        <f t="array" aca="1" ref="IE2" ca="1">IFERROR(_xlfn.UNIQUE(_xlfn._xlws.FILTER(INDIRECT("PQ_Base_Opcoes_Formatada["&amp;IE$1&amp;"]"),INDIRECT("PQ_Base_Opcoes_Formatada["&amp;IE$1&amp;"]")&lt;&gt;"")),"")</f>
        <v/>
      </c>
      <c r="IF2" t="str" cm="1">
        <f t="array" aca="1" ref="IF2" ca="1">IFERROR(_xlfn.UNIQUE(_xlfn._xlws.FILTER(INDIRECT("PQ_Base_Opcoes_Formatada["&amp;IF$1&amp;"]"),INDIRECT("PQ_Base_Opcoes_Formatada["&amp;IF$1&amp;"]")&lt;&gt;"")),"")</f>
        <v/>
      </c>
      <c r="IG2" t="str" cm="1">
        <f t="array" aca="1" ref="IG2" ca="1">IFERROR(_xlfn.UNIQUE(_xlfn._xlws.FILTER(INDIRECT("PQ_Base_Opcoes_Formatada["&amp;IG$1&amp;"]"),INDIRECT("PQ_Base_Opcoes_Formatada["&amp;IG$1&amp;"]")&lt;&gt;"")),"")</f>
        <v/>
      </c>
      <c r="IH2" t="str" cm="1">
        <f t="array" aca="1" ref="IH2" ca="1">IFERROR(_xlfn.UNIQUE(_xlfn._xlws.FILTER(INDIRECT("PQ_Base_Opcoes_Formatada["&amp;IH$1&amp;"]"),INDIRECT("PQ_Base_Opcoes_Formatada["&amp;IH$1&amp;"]")&lt;&gt;"")),"")</f>
        <v/>
      </c>
      <c r="II2" t="str" cm="1">
        <f t="array" aca="1" ref="II2" ca="1">IFERROR(_xlfn.UNIQUE(_xlfn._xlws.FILTER(INDIRECT("PQ_Base_Opcoes_Formatada["&amp;II$1&amp;"]"),INDIRECT("PQ_Base_Opcoes_Formatada["&amp;II$1&amp;"]")&lt;&gt;"")),"")</f>
        <v/>
      </c>
      <c r="IJ2" t="str" cm="1">
        <f t="array" aca="1" ref="IJ2" ca="1">IFERROR(_xlfn.UNIQUE(_xlfn._xlws.FILTER(INDIRECT("PQ_Base_Opcoes_Formatada["&amp;IJ$1&amp;"]"),INDIRECT("PQ_Base_Opcoes_Formatada["&amp;IJ$1&amp;"]")&lt;&gt;"")),"")</f>
        <v/>
      </c>
      <c r="IK2" t="str" cm="1">
        <f t="array" aca="1" ref="IK2" ca="1">IFERROR(_xlfn.UNIQUE(_xlfn._xlws.FILTER(INDIRECT("PQ_Base_Opcoes_Formatada["&amp;IK$1&amp;"]"),INDIRECT("PQ_Base_Opcoes_Formatada["&amp;IK$1&amp;"]")&lt;&gt;"")),"")</f>
        <v/>
      </c>
      <c r="IL2" t="str" cm="1">
        <f t="array" aca="1" ref="IL2" ca="1">IFERROR(_xlfn.UNIQUE(_xlfn._xlws.FILTER(INDIRECT("PQ_Base_Opcoes_Formatada["&amp;IL$1&amp;"]"),INDIRECT("PQ_Base_Opcoes_Formatada["&amp;IL$1&amp;"]")&lt;&gt;"")),"")</f>
        <v/>
      </c>
      <c r="IM2" t="str" cm="1">
        <f t="array" aca="1" ref="IM2" ca="1">IFERROR(_xlfn.UNIQUE(_xlfn._xlws.FILTER(INDIRECT("PQ_Base_Opcoes_Formatada["&amp;IM$1&amp;"]"),INDIRECT("PQ_Base_Opcoes_Formatada["&amp;IM$1&amp;"]")&lt;&gt;"")),"")</f>
        <v/>
      </c>
      <c r="IN2" t="str" cm="1">
        <f t="array" aca="1" ref="IN2" ca="1">IFERROR(_xlfn.UNIQUE(_xlfn._xlws.FILTER(INDIRECT("PQ_Base_Opcoes_Formatada["&amp;IN$1&amp;"]"),INDIRECT("PQ_Base_Opcoes_Formatada["&amp;IN$1&amp;"]")&lt;&gt;"")),"")</f>
        <v/>
      </c>
    </row>
    <row r="3" spans="1:248" x14ac:dyDescent="0.35">
      <c r="A3" t="str">
        <f ca="1"/>
        <v>BAR</v>
      </c>
      <c r="B3" t="str">
        <f ca="1"/>
        <v>APPLE ONE</v>
      </c>
      <c r="C3" t="str">
        <f ca="1"/>
        <v>CABELEIREIRO</v>
      </c>
      <c r="D3" t="str">
        <f ca="1"/>
        <v>FACULDADE</v>
      </c>
      <c r="E3" t="str">
        <f ca="1"/>
        <v>EMPRESTIMO</v>
      </c>
      <c r="F3" t="str">
        <f ca="1"/>
        <v>CINEMA</v>
      </c>
      <c r="G3" t="str">
        <f ca="1"/>
        <v>ALUGUEL</v>
      </c>
      <c r="H3" t="str">
        <f ca="1"/>
        <v>DOACOES</v>
      </c>
      <c r="I3" t="str">
        <f ca="1"/>
        <v>BANHO</v>
      </c>
      <c r="J3" t="str">
        <f ca="1"/>
        <v>ALUGUEL RECEBIDO</v>
      </c>
      <c r="K3" t="str">
        <f ca="1"/>
        <v>CROSSFIT</v>
      </c>
      <c r="L3" t="str">
        <f ca="1"/>
        <v>AMAZON</v>
      </c>
      <c r="M3" t="str">
        <f ca="1"/>
        <v>COMBUSTIVEL</v>
      </c>
      <c r="N3" t="str">
        <f ca="1"/>
        <v>ASSINATURA</v>
      </c>
      <c r="O3" t="str">
        <f ca="1"/>
        <v>ANUAL</v>
      </c>
      <c r="P3" t="str">
        <f ca="1"/>
        <v>CARTAO CREDITO</v>
      </c>
      <c r="Q3" t="str">
        <f ca="1"/>
        <v>GIOVANNA</v>
      </c>
      <c r="R3" t="str">
        <f ca="1"/>
        <v>INATIVO</v>
      </c>
      <c r="S3" t="str">
        <f ca="1"/>
        <v>PENDENTE</v>
      </c>
      <c r="T3" t="str">
        <f ca="1"/>
        <v>ENTRADA</v>
      </c>
      <c r="U3" t="str">
        <f ca="1"/>
        <v>Nubank Roxinho</v>
      </c>
    </row>
    <row r="4" spans="1:248" x14ac:dyDescent="0.35">
      <c r="A4" t="str">
        <f ca="1"/>
        <v>CAFETERIA</v>
      </c>
      <c r="B4" t="str">
        <f ca="1"/>
        <v>CELULAR CONTROLE</v>
      </c>
      <c r="C4" t="str">
        <f ca="1"/>
        <v>COSMETICOS</v>
      </c>
      <c r="D4" t="str">
        <f ca="1"/>
        <v>IDIOMAS</v>
      </c>
      <c r="E4" t="str">
        <f ca="1"/>
        <v>FATURA A PAGAR</v>
      </c>
      <c r="F4" t="str">
        <f ca="1"/>
        <v>CLUBE</v>
      </c>
      <c r="G4" t="str">
        <f ca="1"/>
        <v>ARTIGOS PARA CASA</v>
      </c>
      <c r="H4" t="str">
        <f ca="1"/>
        <v>GASTOS VARIADOS</v>
      </c>
      <c r="I4" t="str">
        <f ca="1"/>
        <v>HOTEL PARA PETS</v>
      </c>
      <c r="J4" t="str">
        <f ca="1"/>
        <v>BENEFICIOS TRABALHISTAS</v>
      </c>
      <c r="K4" t="str">
        <f ca="1"/>
        <v>DENTISTA</v>
      </c>
      <c r="L4" t="str">
        <f ca="1"/>
        <v>CALCADOS</v>
      </c>
      <c r="M4" t="str">
        <f ca="1"/>
        <v>ESTACIONAMENTO</v>
      </c>
      <c r="N4" t="str">
        <f ca="1"/>
        <v>BELEZA_PESSOAL</v>
      </c>
      <c r="O4" t="str">
        <f ca="1"/>
        <v>SEMANAL</v>
      </c>
      <c r="P4" t="str">
        <f ca="1"/>
        <v>CARTAO DEBITO</v>
      </c>
      <c r="Q4" t="str">
        <f ca="1"/>
        <v>LUIS</v>
      </c>
      <c r="S4" t="str">
        <f ca="1"/>
        <v>EMITIDO</v>
      </c>
      <c r="U4" t="str">
        <f ca="1"/>
        <v>XP Visa</v>
      </c>
    </row>
    <row r="5" spans="1:248" x14ac:dyDescent="0.35">
      <c r="A5" t="str">
        <f ca="1"/>
        <v>CONVENIENCIA</v>
      </c>
      <c r="B5" t="str">
        <f ca="1"/>
        <v>CELULAR PRE-PAGO</v>
      </c>
      <c r="C5" t="str">
        <f ca="1"/>
        <v>DEPILACAO</v>
      </c>
      <c r="D5" t="str">
        <f ca="1"/>
        <v>LIVROS TECNICOS</v>
      </c>
      <c r="E5" t="str">
        <f ca="1"/>
        <v>IOF</v>
      </c>
      <c r="F5" t="str">
        <f ca="1"/>
        <v>HOBBIES</v>
      </c>
      <c r="G5" t="str">
        <f ca="1"/>
        <v>CHAVEIRO</v>
      </c>
      <c r="H5" t="str">
        <f ca="1"/>
        <v>IMPOSTO DE RENDA A PAGAR</v>
      </c>
      <c r="I5" t="str">
        <f ca="1"/>
        <v>MEDICAMENTOS PET</v>
      </c>
      <c r="J5" t="str">
        <f ca="1"/>
        <v>BONUS</v>
      </c>
      <c r="K5" t="str">
        <f ca="1"/>
        <v>EXAMES</v>
      </c>
      <c r="L5" t="str">
        <f ca="1"/>
        <v>ELETRONICOS</v>
      </c>
      <c r="M5" t="str">
        <f ca="1"/>
        <v>IPVA</v>
      </c>
      <c r="N5" t="str">
        <f ca="1"/>
        <v>EDUCACAO</v>
      </c>
      <c r="O5" t="str">
        <f ca="1"/>
        <v>QUINZENAL</v>
      </c>
      <c r="P5" t="str">
        <f ca="1"/>
        <v>BOLETO</v>
      </c>
      <c r="Q5" t="str">
        <f ca="1"/>
        <v>SERGIO</v>
      </c>
      <c r="S5" t="str">
        <f ca="1"/>
        <v>ATRASADO</v>
      </c>
    </row>
    <row r="6" spans="1:248" x14ac:dyDescent="0.35">
      <c r="A6" t="str">
        <f ca="1"/>
        <v>DELIVERY APP</v>
      </c>
      <c r="B6" t="str">
        <f ca="1"/>
        <v>CHATGPT</v>
      </c>
      <c r="C6" t="str">
        <f ca="1"/>
        <v>ESTETICA</v>
      </c>
      <c r="D6" t="str">
        <f ca="1"/>
        <v>MATERIAL DE PAPELARIA</v>
      </c>
      <c r="E6" t="str">
        <f ca="1"/>
        <v>JUROS DE CHEQUE ESPECIAL</v>
      </c>
      <c r="F6" t="str">
        <f ca="1"/>
        <v>JOGOS DIGITAIS</v>
      </c>
      <c r="G6" t="str">
        <f ca="1"/>
        <v>CONDOMINIO</v>
      </c>
      <c r="H6" t="str">
        <f ca="1"/>
        <v>SAQUE EM ESPECIE</v>
      </c>
      <c r="I6" t="str">
        <f ca="1"/>
        <v>PASSEADOR</v>
      </c>
      <c r="J6" t="str">
        <f ca="1"/>
        <v>CASHBACK</v>
      </c>
      <c r="K6" t="str">
        <f ca="1"/>
        <v>FARMACIA</v>
      </c>
      <c r="L6" t="str">
        <f ca="1"/>
        <v>JOGOS DIGITAIS</v>
      </c>
      <c r="M6" t="str">
        <f ca="1"/>
        <v>LAVAGEM AUTOMOTIVA</v>
      </c>
      <c r="N6" t="str">
        <f ca="1"/>
        <v>FINANCEIRO</v>
      </c>
      <c r="O6" t="str">
        <f ca="1"/>
        <v>TRIMESTRAL</v>
      </c>
      <c r="P6" t="str">
        <f ca="1"/>
        <v>DEBITO AUTOMATICO</v>
      </c>
      <c r="Q6" t="str">
        <f ca="1"/>
        <v>VICTOR</v>
      </c>
      <c r="S6" t="str">
        <f ca="1"/>
        <v>REEMBOLSO</v>
      </c>
    </row>
    <row r="7" spans="1:248" x14ac:dyDescent="0.35">
      <c r="A7" t="str">
        <f ca="1"/>
        <v>FAST FOOD</v>
      </c>
      <c r="B7" t="str">
        <f ca="1"/>
        <v>CLAUDE</v>
      </c>
      <c r="C7" t="str">
        <f ca="1"/>
        <v>MANICURE</v>
      </c>
      <c r="D7" t="str">
        <f ca="1"/>
        <v>MENTORIA</v>
      </c>
      <c r="E7" t="str">
        <f ca="1"/>
        <v>MULTAS POR ATRASO</v>
      </c>
      <c r="F7" t="str">
        <f ca="1"/>
        <v>MUSEU</v>
      </c>
      <c r="G7" t="str">
        <f ca="1"/>
        <v>DECORACAO</v>
      </c>
      <c r="H7" t="str">
        <f ca="1"/>
        <v>UPGRADE NOTEBOOK</v>
      </c>
      <c r="I7" t="str">
        <f ca="1"/>
        <v>PETISCOS</v>
      </c>
      <c r="J7" t="str">
        <f ca="1"/>
        <v>COMISSAO</v>
      </c>
      <c r="K7" t="str">
        <f ca="1"/>
        <v>FISIOTERAPIA</v>
      </c>
      <c r="L7" t="str">
        <f ca="1"/>
        <v>LICENCA DIGITAL</v>
      </c>
      <c r="M7" t="str">
        <f ca="1"/>
        <v>LICENCIAMENTO</v>
      </c>
      <c r="N7" t="str">
        <f ca="1"/>
        <v>LAZER</v>
      </c>
      <c r="O7" t="str">
        <f ca="1"/>
        <v>SEMESTRAL</v>
      </c>
      <c r="P7" t="str">
        <f ca="1"/>
        <v>DINHEIRO</v>
      </c>
    </row>
    <row r="8" spans="1:248" x14ac:dyDescent="0.35">
      <c r="A8" t="str">
        <f ca="1"/>
        <v>FEIRA LIVRE</v>
      </c>
      <c r="B8" t="str">
        <f ca="1"/>
        <v>CLUBE IFOOD</v>
      </c>
      <c r="C8" t="str">
        <f ca="1"/>
        <v>MASSAGEM</v>
      </c>
      <c r="D8" t="str">
        <f ca="1"/>
        <v>POS-GRADUACAO</v>
      </c>
      <c r="E8" t="str">
        <f ca="1"/>
        <v>PAGAMENTO DE FATURA</v>
      </c>
      <c r="F8" t="str">
        <f ca="1"/>
        <v>PARQUE</v>
      </c>
      <c r="G8" t="str">
        <f ca="1"/>
        <v>DEDETIZACAO</v>
      </c>
      <c r="I8" t="str">
        <f ca="1"/>
        <v>RACAO</v>
      </c>
      <c r="J8" t="str">
        <f ca="1"/>
        <v>DEPOSITO</v>
      </c>
      <c r="K8" t="str">
        <f ca="1"/>
        <v>FONOAUDIOLOGO</v>
      </c>
      <c r="L8" t="str">
        <f ca="1"/>
        <v>MERCADO LIVRE</v>
      </c>
      <c r="M8" t="str">
        <f ca="1"/>
        <v>MECANICA</v>
      </c>
      <c r="N8" t="str">
        <f ca="1"/>
        <v>MORADIA</v>
      </c>
      <c r="O8" t="str">
        <f ca="1"/>
        <v>BIMESTRAL</v>
      </c>
      <c r="P8" t="str">
        <f ca="1"/>
        <v>TRANSFERENCIA</v>
      </c>
    </row>
    <row r="9" spans="1:248" x14ac:dyDescent="0.35">
      <c r="A9" t="str">
        <f ca="1"/>
        <v>HORTIFRUTI</v>
      </c>
      <c r="B9" t="str">
        <f ca="1"/>
        <v>COPILOT</v>
      </c>
      <c r="C9" t="str">
        <f ca="1"/>
        <v>PEDICURE</v>
      </c>
      <c r="D9" t="str">
        <f ca="1"/>
        <v>WORKSHOPS</v>
      </c>
      <c r="E9" t="str">
        <f ca="1"/>
        <v>REEMBOLSO A TERCEIROS</v>
      </c>
      <c r="F9" t="str">
        <f ca="1"/>
        <v>SHOWS</v>
      </c>
      <c r="G9" t="str">
        <f ca="1"/>
        <v>DIARISTA</v>
      </c>
      <c r="I9" t="str">
        <f ca="1"/>
        <v>REMEDIO</v>
      </c>
      <c r="J9" t="str">
        <f ca="1"/>
        <v>DIVIDENDOS</v>
      </c>
      <c r="K9" t="str">
        <f ca="1"/>
        <v>HOSPITAL</v>
      </c>
      <c r="L9" t="str">
        <f ca="1"/>
        <v>PLAY STORE</v>
      </c>
      <c r="M9" t="str">
        <f ca="1"/>
        <v>METRO</v>
      </c>
      <c r="N9" t="str">
        <f ca="1"/>
        <v>OUTROS</v>
      </c>
      <c r="P9" t="str">
        <f ca="1"/>
        <v>VALE BENEFICIO</v>
      </c>
    </row>
    <row r="10" spans="1:248" x14ac:dyDescent="0.35">
      <c r="A10" t="str">
        <f ca="1"/>
        <v>PADARIA</v>
      </c>
      <c r="B10" t="str">
        <f ca="1"/>
        <v>CREDITOS DE API</v>
      </c>
      <c r="C10" t="str">
        <f ca="1"/>
        <v>PERFUMARIA</v>
      </c>
      <c r="E10" t="str">
        <f ca="1"/>
        <v>SEGURO DE VIDA</v>
      </c>
      <c r="F10" t="str">
        <f ca="1"/>
        <v>TEATRO</v>
      </c>
      <c r="G10" t="str">
        <f ca="1"/>
        <v>ENERGIA ELETRICA</v>
      </c>
      <c r="I10" t="str">
        <f ca="1"/>
        <v>TOSA</v>
      </c>
      <c r="J10" t="str">
        <f ca="1"/>
        <v>FERIAS</v>
      </c>
      <c r="K10" t="str">
        <f ca="1"/>
        <v>LABORATORIO</v>
      </c>
      <c r="L10" t="str">
        <f ca="1"/>
        <v>PRESENTES</v>
      </c>
      <c r="M10" t="str">
        <f ca="1"/>
        <v>MULTA DE TRANSITO</v>
      </c>
      <c r="N10" t="str">
        <f ca="1"/>
        <v>PETS</v>
      </c>
      <c r="P10" t="str">
        <f ca="1"/>
        <v>DEBITO EM CONTA</v>
      </c>
    </row>
    <row r="11" spans="1:248" x14ac:dyDescent="0.35">
      <c r="A11" t="str">
        <f ca="1"/>
        <v>RESTAURANTE</v>
      </c>
      <c r="B11" t="str">
        <f ca="1"/>
        <v>CURSOR</v>
      </c>
      <c r="E11" t="str">
        <f ca="1"/>
        <v>TARIFA BANCARIA</v>
      </c>
      <c r="F11" t="str">
        <f ca="1"/>
        <v>VIAGEM HOSPEDAGEM</v>
      </c>
      <c r="G11" t="str">
        <f ca="1"/>
        <v>FERRAMENTAS</v>
      </c>
      <c r="I11" t="str">
        <f ca="1"/>
        <v>VETERINARIO</v>
      </c>
      <c r="J11" t="str">
        <f ca="1"/>
        <v>FREELANCE</v>
      </c>
      <c r="K11" t="str">
        <f ca="1"/>
        <v>MEDICO ESPECIALISTA</v>
      </c>
      <c r="L11" t="str">
        <f ca="1"/>
        <v>ROUPAS</v>
      </c>
      <c r="M11" t="str">
        <f ca="1"/>
        <v>ONIBUS</v>
      </c>
      <c r="N11" t="str">
        <f ca="1"/>
        <v>RECEITA</v>
      </c>
    </row>
    <row r="12" spans="1:248" x14ac:dyDescent="0.35">
      <c r="A12" t="str">
        <f ca="1"/>
        <v>SORVETERIA</v>
      </c>
      <c r="B12" t="str">
        <f ca="1"/>
        <v>DEEPSEEK</v>
      </c>
      <c r="E12" t="str">
        <f ca="1"/>
        <v>TAXA DE CARTAO</v>
      </c>
      <c r="F12" t="str">
        <f ca="1"/>
        <v>VIAGEM PASSAGEM AEREA</v>
      </c>
      <c r="G12" t="str">
        <f ca="1"/>
        <v>GAS ENCANADO</v>
      </c>
      <c r="J12" t="str">
        <f ca="1"/>
        <v>PLR</v>
      </c>
      <c r="K12" t="str">
        <f ca="1"/>
        <v>NUTRICIONISTA</v>
      </c>
      <c r="L12" t="str">
        <f ca="1"/>
        <v>SHOPEE</v>
      </c>
      <c r="M12" t="str">
        <f ca="1"/>
        <v>PEDAGIO</v>
      </c>
      <c r="N12" t="str">
        <f ca="1"/>
        <v>SAUDE</v>
      </c>
    </row>
    <row r="13" spans="1:248" x14ac:dyDescent="0.35">
      <c r="A13" t="str">
        <f ca="1"/>
        <v>SUPERMERCADO</v>
      </c>
      <c r="B13" t="str">
        <f ca="1"/>
        <v>DISCORD NITRO</v>
      </c>
      <c r="F13" t="str">
        <f ca="1"/>
        <v>VIAGEM PASSEIOS</v>
      </c>
      <c r="G13" t="str">
        <f ca="1"/>
        <v>IPTU</v>
      </c>
      <c r="J13" t="str">
        <f ca="1"/>
        <v>PRESENTE EM DINHEIRO</v>
      </c>
      <c r="K13" t="str">
        <f ca="1"/>
        <v>PERSONAL TRAINER</v>
      </c>
      <c r="M13" t="str">
        <f ca="1"/>
        <v>RECARGA BILHETE UNICO</v>
      </c>
      <c r="N13" t="str">
        <f ca="1"/>
        <v>SHOPPING</v>
      </c>
    </row>
    <row r="14" spans="1:248" x14ac:dyDescent="0.35">
      <c r="B14" t="str">
        <f ca="1"/>
        <v>DISNEY PLUS</v>
      </c>
      <c r="G14" t="str">
        <f ca="1"/>
        <v>JARDINAGEM</v>
      </c>
      <c r="J14" t="str">
        <f ca="1"/>
        <v>REEMBOLSO RECEBIDO</v>
      </c>
      <c r="K14" t="str">
        <f ca="1"/>
        <v>PILATES</v>
      </c>
      <c r="M14" t="str">
        <f ca="1"/>
        <v>SEGURO AUTO</v>
      </c>
      <c r="N14" t="str">
        <f ca="1"/>
        <v>TRANSPORTE</v>
      </c>
    </row>
    <row r="15" spans="1:248" x14ac:dyDescent="0.35">
      <c r="B15" t="str">
        <f ca="1"/>
        <v>GEMINI</v>
      </c>
      <c r="G15" t="str">
        <f ca="1"/>
        <v>LAVANDERIA</v>
      </c>
      <c r="J15" t="str">
        <f ca="1"/>
        <v>RESGATE INVESTIMENTO</v>
      </c>
      <c r="K15" t="str">
        <f ca="1"/>
        <v>PLANO DE SAUDE</v>
      </c>
      <c r="M15" t="str">
        <f ca="1"/>
        <v>TAXI</v>
      </c>
    </row>
    <row r="16" spans="1:248" x14ac:dyDescent="0.35">
      <c r="B16" t="str">
        <f ca="1"/>
        <v>GLOBOPLAY</v>
      </c>
      <c r="G16" t="str">
        <f ca="1"/>
        <v>MANUTENCAO GERAL</v>
      </c>
      <c r="J16" t="str">
        <f ca="1"/>
        <v>RESTITUICAO IR</v>
      </c>
      <c r="K16" t="str">
        <f ca="1"/>
        <v>PSICOLOGO</v>
      </c>
      <c r="M16" t="str">
        <f ca="1"/>
        <v>TRANSPORTE POR APP</v>
      </c>
    </row>
    <row r="17" spans="2:11" x14ac:dyDescent="0.35">
      <c r="B17" t="str">
        <f ca="1"/>
        <v>GOOGLE ONE</v>
      </c>
      <c r="G17" t="str">
        <f ca="1"/>
        <v>MARCENEIRO</v>
      </c>
      <c r="J17" t="str">
        <f ca="1"/>
        <v>SALARIO</v>
      </c>
      <c r="K17" t="str">
        <f ca="1"/>
        <v>PSIQUIATRA</v>
      </c>
    </row>
    <row r="18" spans="2:11" x14ac:dyDescent="0.35">
      <c r="B18" t="str">
        <f ca="1"/>
        <v>GROK</v>
      </c>
      <c r="G18" t="str">
        <f ca="1"/>
        <v>MOVEIS</v>
      </c>
      <c r="J18" t="str">
        <f ca="1"/>
        <v>VENDA DE ITENS</v>
      </c>
      <c r="K18" t="str">
        <f ca="1"/>
        <v>SUPLEMENTOS</v>
      </c>
    </row>
    <row r="19" spans="2:11" x14ac:dyDescent="0.35">
      <c r="B19" t="str">
        <f ca="1"/>
        <v>HBO MAX</v>
      </c>
      <c r="G19" t="str">
        <f ca="1"/>
        <v>REFORMA</v>
      </c>
      <c r="K19" t="str">
        <f ca="1"/>
        <v>TERAPIA ALTERNATIVA</v>
      </c>
    </row>
    <row r="20" spans="2:11" x14ac:dyDescent="0.35">
      <c r="B20" t="str">
        <f ca="1"/>
        <v>INTERNET FIBRA</v>
      </c>
      <c r="G20" t="str">
        <f ca="1"/>
        <v>SEGURANCA MONITORADA</v>
      </c>
      <c r="K20" t="str">
        <f ca="1"/>
        <v>VACINAS</v>
      </c>
    </row>
    <row r="21" spans="2:11" x14ac:dyDescent="0.35">
      <c r="B21" t="str">
        <f ca="1"/>
        <v>JORNAL DIGITAL</v>
      </c>
      <c r="G21" t="str">
        <f ca="1"/>
        <v>SEGURO INCENDIO</v>
      </c>
    </row>
    <row r="22" spans="2:11" x14ac:dyDescent="0.35">
      <c r="B22" t="str">
        <f ca="1"/>
        <v>KDPLAY</v>
      </c>
    </row>
    <row r="23" spans="2:11" x14ac:dyDescent="0.35">
      <c r="B23" t="str">
        <f ca="1"/>
        <v>KINDLE</v>
      </c>
    </row>
    <row r="24" spans="2:11" x14ac:dyDescent="0.35">
      <c r="B24" t="str">
        <f ca="1"/>
        <v>MICROSOFT 365</v>
      </c>
    </row>
    <row r="25" spans="2:11" x14ac:dyDescent="0.35">
      <c r="B25" t="str">
        <f ca="1"/>
        <v>MIDJOURNEY</v>
      </c>
    </row>
    <row r="26" spans="2:11" x14ac:dyDescent="0.35">
      <c r="B26" t="str">
        <f ca="1"/>
        <v>NETFLIX</v>
      </c>
    </row>
    <row r="27" spans="2:11" x14ac:dyDescent="0.35">
      <c r="B27" t="str">
        <f ca="1"/>
        <v>OUTROS</v>
      </c>
    </row>
    <row r="28" spans="2:11" x14ac:dyDescent="0.35">
      <c r="B28" t="str">
        <f ca="1"/>
        <v>PARAMOUNT</v>
      </c>
    </row>
    <row r="29" spans="2:11" x14ac:dyDescent="0.35">
      <c r="B29" t="str">
        <f ca="1"/>
        <v>POWER BI</v>
      </c>
    </row>
    <row r="30" spans="2:11" x14ac:dyDescent="0.35">
      <c r="B30" t="str">
        <f ca="1"/>
        <v>SERVIDOR CLOUD</v>
      </c>
    </row>
    <row r="31" spans="2:11" x14ac:dyDescent="0.35">
      <c r="B31" t="str">
        <f ca="1"/>
        <v>SOFTWARE LICENCA</v>
      </c>
    </row>
    <row r="32" spans="2:11" x14ac:dyDescent="0.35">
      <c r="B32" t="str">
        <f ca="1"/>
        <v>SPOTIFY</v>
      </c>
    </row>
    <row r="33" spans="2:2" x14ac:dyDescent="0.35">
      <c r="B33" t="str">
        <f ca="1"/>
        <v>TV A CABO</v>
      </c>
    </row>
    <row r="34" spans="2:2" x14ac:dyDescent="0.35">
      <c r="B34" t="str">
        <f ca="1"/>
        <v>TWITCH</v>
      </c>
    </row>
    <row r="35" spans="2:2" x14ac:dyDescent="0.35">
      <c r="B35" t="str">
        <f ca="1"/>
        <v>WINDSURF</v>
      </c>
    </row>
    <row r="36" spans="2:2" x14ac:dyDescent="0.35">
      <c r="B36" t="str">
        <f ca="1"/>
        <v>YOUTUBE PREMIUM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1" tint="0.34998626667073579"/>
  </sheetPr>
  <dimension ref="A1:AB37"/>
  <sheetViews>
    <sheetView showGridLines="0" tabSelected="1" topLeftCell="K1" zoomScale="70" zoomScaleNormal="70" workbookViewId="0">
      <pane ySplit="2" topLeftCell="A3" activePane="bottomLeft" state="frozen"/>
      <selection pane="bottomLeft" activeCell="V26" sqref="V26"/>
    </sheetView>
  </sheetViews>
  <sheetFormatPr defaultRowHeight="14.5" x14ac:dyDescent="0.35"/>
  <cols>
    <col min="1" max="1" width="19.26953125" customWidth="1"/>
    <col min="2" max="2" width="25.453125" customWidth="1"/>
    <col min="3" max="3" width="24.26953125" bestFit="1" customWidth="1"/>
    <col min="4" max="4" width="25.453125" customWidth="1"/>
    <col min="5" max="5" width="26.26953125" bestFit="1" customWidth="1"/>
    <col min="6" max="6" width="28.08984375" bestFit="1" customWidth="1"/>
    <col min="7" max="7" width="22.6328125" bestFit="1" customWidth="1"/>
    <col min="8" max="8" width="25.90625" bestFit="1" customWidth="1"/>
    <col min="9" max="9" width="25.90625" customWidth="1"/>
    <col min="10" max="10" width="26.7265625" bestFit="1" customWidth="1"/>
    <col min="11" max="11" width="24.453125" customWidth="1"/>
    <col min="12" max="12" width="27.6328125" bestFit="1" customWidth="1"/>
    <col min="13" max="13" width="27.6328125" customWidth="1"/>
    <col min="14" max="15" width="2.6328125" customWidth="1"/>
    <col min="16" max="16" width="20.26953125" bestFit="1" customWidth="1"/>
    <col min="17" max="17" width="13.36328125" customWidth="1"/>
    <col min="18" max="18" width="13.90625" customWidth="1"/>
    <col min="19" max="19" width="11.1796875" customWidth="1"/>
    <col min="20" max="21" width="2.6328125" customWidth="1"/>
    <col min="22" max="22" width="27.453125" customWidth="1"/>
    <col min="23" max="23" width="25.81640625" customWidth="1"/>
    <col min="24" max="24" width="23.453125" bestFit="1" customWidth="1"/>
    <col min="25" max="25" width="22.1796875" customWidth="1"/>
    <col min="26" max="26" width="23.90625" bestFit="1" customWidth="1"/>
    <col min="27" max="27" width="20.6328125" bestFit="1" customWidth="1"/>
    <col min="28" max="28" width="28.90625" bestFit="1" customWidth="1"/>
    <col min="29" max="29" width="20.6328125" bestFit="1" customWidth="1"/>
  </cols>
  <sheetData>
    <row r="1" spans="1:28" s="4" customFormat="1" ht="15.5" customHeight="1" x14ac:dyDescent="0.35">
      <c r="A1" s="82" t="s">
        <v>228</v>
      </c>
      <c r="B1" s="82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/>
      <c r="O1"/>
      <c r="P1" s="81" t="s">
        <v>237</v>
      </c>
      <c r="Q1" s="81"/>
      <c r="R1" s="81"/>
      <c r="S1" s="81"/>
      <c r="T1"/>
      <c r="V1" s="82" t="s">
        <v>229</v>
      </c>
      <c r="W1" s="82"/>
      <c r="X1" s="82"/>
      <c r="Y1" s="82"/>
      <c r="Z1" s="82"/>
      <c r="AA1" s="82"/>
      <c r="AB1" s="82"/>
    </row>
    <row r="2" spans="1:28" x14ac:dyDescent="0.35">
      <c r="A2" s="25" t="s">
        <v>7</v>
      </c>
      <c r="B2" s="25" t="s">
        <v>176</v>
      </c>
      <c r="C2" s="25" t="s">
        <v>197</v>
      </c>
      <c r="D2" s="25" t="s">
        <v>21</v>
      </c>
      <c r="E2" s="25" t="s">
        <v>24</v>
      </c>
      <c r="F2" s="25" t="s">
        <v>26</v>
      </c>
      <c r="G2" s="25" t="s">
        <v>29</v>
      </c>
      <c r="H2" s="25" t="s">
        <v>63</v>
      </c>
      <c r="I2" s="25" t="s">
        <v>34</v>
      </c>
      <c r="J2" s="25" t="s">
        <v>36</v>
      </c>
      <c r="K2" s="25" t="s">
        <v>43</v>
      </c>
      <c r="L2" s="25" t="s">
        <v>50</v>
      </c>
      <c r="M2" s="25" t="s">
        <v>53</v>
      </c>
      <c r="P2" s="18" t="s">
        <v>240</v>
      </c>
      <c r="Q2" s="18" t="s">
        <v>200</v>
      </c>
      <c r="R2" s="18" t="s">
        <v>201</v>
      </c>
      <c r="S2" s="19" t="s">
        <v>198</v>
      </c>
      <c r="V2" s="28" t="s">
        <v>199</v>
      </c>
      <c r="W2" s="29" t="s">
        <v>243</v>
      </c>
      <c r="X2" s="29" t="s">
        <v>1</v>
      </c>
      <c r="Y2" s="28" t="s">
        <v>0</v>
      </c>
      <c r="Z2" s="29" t="s">
        <v>224</v>
      </c>
      <c r="AA2" s="29" t="s">
        <v>239</v>
      </c>
      <c r="AB2" s="29" t="s">
        <v>225</v>
      </c>
    </row>
    <row r="3" spans="1:28" x14ac:dyDescent="0.35">
      <c r="A3" t="s">
        <v>178</v>
      </c>
      <c r="B3" t="s">
        <v>75</v>
      </c>
      <c r="C3" t="s">
        <v>17</v>
      </c>
      <c r="D3" t="s">
        <v>88</v>
      </c>
      <c r="E3" t="s">
        <v>214</v>
      </c>
      <c r="F3" t="s">
        <v>99</v>
      </c>
      <c r="G3" t="s">
        <v>109</v>
      </c>
      <c r="H3" t="s">
        <v>153</v>
      </c>
      <c r="I3" t="s">
        <v>120</v>
      </c>
      <c r="J3" t="s">
        <v>192</v>
      </c>
      <c r="K3" t="s">
        <v>44</v>
      </c>
      <c r="L3" t="s">
        <v>142</v>
      </c>
      <c r="M3" t="s">
        <v>144</v>
      </c>
      <c r="P3" s="3" t="s">
        <v>261</v>
      </c>
      <c r="Q3" s="5">
        <v>3</v>
      </c>
      <c r="R3" s="5">
        <v>10</v>
      </c>
      <c r="S3" s="6" t="s">
        <v>168</v>
      </c>
      <c r="T3" s="30"/>
      <c r="V3" s="39" t="s">
        <v>7</v>
      </c>
      <c r="W3" t="s">
        <v>246</v>
      </c>
      <c r="X3" t="s">
        <v>4</v>
      </c>
      <c r="Y3" t="s">
        <v>260</v>
      </c>
      <c r="Z3" t="s">
        <v>168</v>
      </c>
      <c r="AA3" t="s">
        <v>175</v>
      </c>
      <c r="AB3" t="s">
        <v>217</v>
      </c>
    </row>
    <row r="4" spans="1:28" x14ac:dyDescent="0.35">
      <c r="A4" t="s">
        <v>66</v>
      </c>
      <c r="B4" t="s">
        <v>10</v>
      </c>
      <c r="C4" t="s">
        <v>18</v>
      </c>
      <c r="D4" t="s">
        <v>22</v>
      </c>
      <c r="E4" t="s">
        <v>184</v>
      </c>
      <c r="F4" t="s">
        <v>27</v>
      </c>
      <c r="G4" t="s">
        <v>30</v>
      </c>
      <c r="H4" t="s">
        <v>190</v>
      </c>
      <c r="I4" t="s">
        <v>121</v>
      </c>
      <c r="J4" t="s">
        <v>126</v>
      </c>
      <c r="K4" t="s">
        <v>129</v>
      </c>
      <c r="L4" t="s">
        <v>220</v>
      </c>
      <c r="M4" t="s">
        <v>196</v>
      </c>
      <c r="P4" s="56" t="s">
        <v>262</v>
      </c>
      <c r="Q4" s="57">
        <v>15</v>
      </c>
      <c r="R4" s="57">
        <v>22</v>
      </c>
      <c r="S4" s="58" t="s">
        <v>168</v>
      </c>
      <c r="V4" s="49" t="s">
        <v>176</v>
      </c>
      <c r="W4" t="s">
        <v>250</v>
      </c>
      <c r="X4" t="s">
        <v>2</v>
      </c>
      <c r="Y4" t="s">
        <v>232</v>
      </c>
      <c r="Z4" t="s">
        <v>177</v>
      </c>
      <c r="AA4" t="s">
        <v>208</v>
      </c>
      <c r="AB4" t="s">
        <v>218</v>
      </c>
    </row>
    <row r="5" spans="1:28" x14ac:dyDescent="0.35">
      <c r="A5" t="s">
        <v>67</v>
      </c>
      <c r="B5" t="s">
        <v>85</v>
      </c>
      <c r="C5" t="s">
        <v>180</v>
      </c>
      <c r="D5" t="s">
        <v>23</v>
      </c>
      <c r="E5" t="s">
        <v>169</v>
      </c>
      <c r="F5" t="s">
        <v>100</v>
      </c>
      <c r="G5" t="s">
        <v>110</v>
      </c>
      <c r="H5" t="s">
        <v>231</v>
      </c>
      <c r="I5" t="s">
        <v>122</v>
      </c>
      <c r="J5" t="s">
        <v>213</v>
      </c>
      <c r="K5" t="s">
        <v>45</v>
      </c>
      <c r="L5" t="s">
        <v>143</v>
      </c>
      <c r="M5" t="s">
        <v>54</v>
      </c>
      <c r="P5" s="56" t="s">
        <v>263</v>
      </c>
      <c r="Q5" s="57">
        <v>20</v>
      </c>
      <c r="R5" s="57">
        <v>27</v>
      </c>
      <c r="S5" s="58" t="s">
        <v>168</v>
      </c>
      <c r="V5" s="40" t="s">
        <v>197</v>
      </c>
      <c r="W5" t="s">
        <v>244</v>
      </c>
      <c r="X5" t="s">
        <v>3</v>
      </c>
      <c r="Y5" t="s">
        <v>259</v>
      </c>
      <c r="AA5" t="s">
        <v>223</v>
      </c>
    </row>
    <row r="6" spans="1:28" x14ac:dyDescent="0.35">
      <c r="A6" t="s">
        <v>68</v>
      </c>
      <c r="B6" t="s">
        <v>86</v>
      </c>
      <c r="C6" t="s">
        <v>181</v>
      </c>
      <c r="D6" t="s">
        <v>89</v>
      </c>
      <c r="E6" t="s">
        <v>60</v>
      </c>
      <c r="F6" t="s">
        <v>28</v>
      </c>
      <c r="G6" t="s">
        <v>111</v>
      </c>
      <c r="H6" t="s">
        <v>154</v>
      </c>
      <c r="I6" t="s">
        <v>123</v>
      </c>
      <c r="J6" t="s">
        <v>37</v>
      </c>
      <c r="K6" t="s">
        <v>130</v>
      </c>
      <c r="L6" t="s">
        <v>51</v>
      </c>
      <c r="M6" t="s">
        <v>62</v>
      </c>
      <c r="V6" s="41" t="s">
        <v>21</v>
      </c>
      <c r="W6" t="s">
        <v>245</v>
      </c>
      <c r="X6" t="s">
        <v>172</v>
      </c>
      <c r="Y6" t="s">
        <v>209</v>
      </c>
      <c r="AA6" t="s">
        <v>227</v>
      </c>
    </row>
    <row r="7" spans="1:28" x14ac:dyDescent="0.35">
      <c r="A7" t="s">
        <v>69</v>
      </c>
      <c r="B7" t="s">
        <v>158</v>
      </c>
      <c r="C7" t="s">
        <v>182</v>
      </c>
      <c r="D7" t="s">
        <v>90</v>
      </c>
      <c r="E7" t="s">
        <v>93</v>
      </c>
      <c r="F7" t="s">
        <v>101</v>
      </c>
      <c r="G7" t="s">
        <v>31</v>
      </c>
      <c r="H7" t="s">
        <v>155</v>
      </c>
      <c r="I7" t="s">
        <v>124</v>
      </c>
      <c r="J7" t="s">
        <v>38</v>
      </c>
      <c r="K7" t="s">
        <v>46</v>
      </c>
      <c r="L7" t="s">
        <v>101</v>
      </c>
      <c r="M7" t="s">
        <v>145</v>
      </c>
      <c r="V7" s="42" t="s">
        <v>24</v>
      </c>
      <c r="W7" t="s">
        <v>248</v>
      </c>
      <c r="X7" t="s">
        <v>156</v>
      </c>
      <c r="Y7" t="s">
        <v>210</v>
      </c>
      <c r="AA7" t="s">
        <v>257</v>
      </c>
    </row>
    <row r="8" spans="1:28" x14ac:dyDescent="0.35">
      <c r="A8" t="s">
        <v>70</v>
      </c>
      <c r="B8" t="s">
        <v>159</v>
      </c>
      <c r="C8" t="s">
        <v>19</v>
      </c>
      <c r="D8" t="s">
        <v>91</v>
      </c>
      <c r="E8" t="s">
        <v>94</v>
      </c>
      <c r="F8" t="s">
        <v>102</v>
      </c>
      <c r="G8" t="s">
        <v>186</v>
      </c>
      <c r="H8" t="s">
        <v>255</v>
      </c>
      <c r="I8" t="s">
        <v>222</v>
      </c>
      <c r="J8" t="s">
        <v>193</v>
      </c>
      <c r="K8" t="s">
        <v>131</v>
      </c>
      <c r="L8" t="s">
        <v>258</v>
      </c>
      <c r="M8" t="s">
        <v>146</v>
      </c>
      <c r="V8" s="43" t="s">
        <v>26</v>
      </c>
      <c r="W8" t="s">
        <v>249</v>
      </c>
      <c r="X8" t="s">
        <v>5</v>
      </c>
    </row>
    <row r="9" spans="1:28" x14ac:dyDescent="0.35">
      <c r="A9" t="s">
        <v>71</v>
      </c>
      <c r="B9" t="s">
        <v>207</v>
      </c>
      <c r="C9" t="s">
        <v>82</v>
      </c>
      <c r="D9" t="s">
        <v>183</v>
      </c>
      <c r="E9" t="s">
        <v>95</v>
      </c>
      <c r="F9" t="s">
        <v>103</v>
      </c>
      <c r="G9" t="s">
        <v>187</v>
      </c>
      <c r="I9" t="s">
        <v>191</v>
      </c>
      <c r="J9" t="s">
        <v>171</v>
      </c>
      <c r="K9" t="s">
        <v>132</v>
      </c>
      <c r="L9" t="s">
        <v>221</v>
      </c>
      <c r="M9" t="s">
        <v>147</v>
      </c>
      <c r="V9" s="44" t="s">
        <v>29</v>
      </c>
      <c r="W9" t="s">
        <v>247</v>
      </c>
      <c r="X9" t="s">
        <v>6</v>
      </c>
    </row>
    <row r="10" spans="1:28" x14ac:dyDescent="0.35">
      <c r="A10" t="s">
        <v>72</v>
      </c>
      <c r="B10" t="s">
        <v>160</v>
      </c>
      <c r="C10" t="s">
        <v>83</v>
      </c>
      <c r="D10" t="s">
        <v>92</v>
      </c>
      <c r="E10" t="s">
        <v>96</v>
      </c>
      <c r="F10" t="s">
        <v>104</v>
      </c>
      <c r="G10" t="s">
        <v>112</v>
      </c>
      <c r="I10" t="s">
        <v>254</v>
      </c>
      <c r="J10" t="s">
        <v>39</v>
      </c>
      <c r="K10" t="s">
        <v>133</v>
      </c>
      <c r="L10" t="s">
        <v>230</v>
      </c>
      <c r="M10" t="s">
        <v>148</v>
      </c>
      <c r="V10" s="45" t="s">
        <v>63</v>
      </c>
      <c r="X10" t="s">
        <v>157</v>
      </c>
    </row>
    <row r="11" spans="1:28" x14ac:dyDescent="0.35">
      <c r="A11" t="s">
        <v>73</v>
      </c>
      <c r="B11" t="s">
        <v>64</v>
      </c>
      <c r="C11" t="s">
        <v>84</v>
      </c>
      <c r="E11" t="s">
        <v>97</v>
      </c>
      <c r="F11" t="s">
        <v>105</v>
      </c>
      <c r="G11" t="s">
        <v>32</v>
      </c>
      <c r="I11" t="s">
        <v>125</v>
      </c>
      <c r="J11" t="s">
        <v>40</v>
      </c>
      <c r="K11" t="s">
        <v>134</v>
      </c>
      <c r="L11" t="s">
        <v>52</v>
      </c>
      <c r="M11" t="s">
        <v>149</v>
      </c>
      <c r="V11" s="46" t="s">
        <v>34</v>
      </c>
      <c r="X11" t="s">
        <v>170</v>
      </c>
    </row>
    <row r="12" spans="1:28" x14ac:dyDescent="0.35">
      <c r="A12" t="s">
        <v>8</v>
      </c>
      <c r="B12" t="s">
        <v>161</v>
      </c>
      <c r="E12" t="s">
        <v>98</v>
      </c>
      <c r="F12" t="s">
        <v>106</v>
      </c>
      <c r="G12" t="s">
        <v>216</v>
      </c>
      <c r="I12" t="s">
        <v>35</v>
      </c>
      <c r="J12" t="s">
        <v>41</v>
      </c>
      <c r="K12" t="s">
        <v>135</v>
      </c>
      <c r="L12" t="s">
        <v>173</v>
      </c>
      <c r="M12" t="s">
        <v>150</v>
      </c>
      <c r="V12" s="50" t="s">
        <v>36</v>
      </c>
    </row>
    <row r="13" spans="1:28" x14ac:dyDescent="0.35">
      <c r="A13" t="s">
        <v>74</v>
      </c>
      <c r="B13" t="s">
        <v>162</v>
      </c>
      <c r="E13" t="s">
        <v>185</v>
      </c>
      <c r="F13" t="s">
        <v>107</v>
      </c>
      <c r="G13" t="s">
        <v>113</v>
      </c>
      <c r="J13" t="s">
        <v>61</v>
      </c>
      <c r="K13" t="s">
        <v>136</v>
      </c>
      <c r="L13" t="s">
        <v>219</v>
      </c>
      <c r="M13" t="s">
        <v>55</v>
      </c>
      <c r="V13" s="47" t="s">
        <v>43</v>
      </c>
    </row>
    <row r="14" spans="1:28" x14ac:dyDescent="0.35">
      <c r="A14" t="s">
        <v>9</v>
      </c>
      <c r="B14" t="s">
        <v>233</v>
      </c>
      <c r="F14" t="s">
        <v>108</v>
      </c>
      <c r="G14" t="s">
        <v>33</v>
      </c>
      <c r="J14" t="s">
        <v>127</v>
      </c>
      <c r="K14" t="s">
        <v>137</v>
      </c>
      <c r="M14" t="s">
        <v>234</v>
      </c>
      <c r="V14" s="48" t="s">
        <v>50</v>
      </c>
    </row>
    <row r="15" spans="1:28" x14ac:dyDescent="0.35">
      <c r="B15" t="s">
        <v>76</v>
      </c>
      <c r="G15" t="s">
        <v>114</v>
      </c>
      <c r="J15" t="s">
        <v>128</v>
      </c>
      <c r="K15" t="s">
        <v>47</v>
      </c>
      <c r="M15" t="s">
        <v>56</v>
      </c>
      <c r="V15" s="51" t="s">
        <v>53</v>
      </c>
    </row>
    <row r="16" spans="1:28" x14ac:dyDescent="0.35">
      <c r="B16" t="s">
        <v>163</v>
      </c>
      <c r="G16" t="s">
        <v>115</v>
      </c>
      <c r="J16" t="s">
        <v>25</v>
      </c>
      <c r="K16" t="s">
        <v>48</v>
      </c>
      <c r="M16" t="s">
        <v>151</v>
      </c>
    </row>
    <row r="17" spans="2:13" x14ac:dyDescent="0.35">
      <c r="B17" t="s">
        <v>77</v>
      </c>
      <c r="G17" t="s">
        <v>188</v>
      </c>
      <c r="J17" t="s">
        <v>194</v>
      </c>
      <c r="K17" t="s">
        <v>49</v>
      </c>
      <c r="M17" t="s">
        <v>152</v>
      </c>
    </row>
    <row r="18" spans="2:13" x14ac:dyDescent="0.35">
      <c r="B18" t="s">
        <v>78</v>
      </c>
      <c r="G18" t="s">
        <v>116</v>
      </c>
      <c r="J18" t="s">
        <v>195</v>
      </c>
      <c r="K18" t="s">
        <v>138</v>
      </c>
    </row>
    <row r="19" spans="2:13" x14ac:dyDescent="0.35">
      <c r="B19" t="s">
        <v>164</v>
      </c>
      <c r="G19" t="s">
        <v>117</v>
      </c>
      <c r="J19" t="s">
        <v>42</v>
      </c>
      <c r="K19" t="s">
        <v>139</v>
      </c>
    </row>
    <row r="20" spans="2:13" x14ac:dyDescent="0.35">
      <c r="B20" t="s">
        <v>11</v>
      </c>
      <c r="G20" t="s">
        <v>118</v>
      </c>
      <c r="K20" t="s">
        <v>140</v>
      </c>
    </row>
    <row r="21" spans="2:13" x14ac:dyDescent="0.35">
      <c r="B21" t="s">
        <v>20</v>
      </c>
      <c r="G21" t="s">
        <v>189</v>
      </c>
      <c r="K21" t="s">
        <v>141</v>
      </c>
    </row>
    <row r="22" spans="2:13" x14ac:dyDescent="0.35">
      <c r="B22" t="s">
        <v>79</v>
      </c>
      <c r="G22" t="s">
        <v>119</v>
      </c>
    </row>
    <row r="23" spans="2:13" x14ac:dyDescent="0.35">
      <c r="B23" t="s">
        <v>253</v>
      </c>
    </row>
    <row r="24" spans="2:13" x14ac:dyDescent="0.35">
      <c r="B24" t="s">
        <v>12</v>
      </c>
    </row>
    <row r="25" spans="2:13" x14ac:dyDescent="0.35">
      <c r="B25" t="s">
        <v>80</v>
      </c>
    </row>
    <row r="26" spans="2:13" x14ac:dyDescent="0.35">
      <c r="B26" t="s">
        <v>165</v>
      </c>
    </row>
    <row r="27" spans="2:13" x14ac:dyDescent="0.35">
      <c r="B27" t="s">
        <v>13</v>
      </c>
    </row>
    <row r="28" spans="2:13" x14ac:dyDescent="0.35">
      <c r="B28" t="s">
        <v>63</v>
      </c>
    </row>
    <row r="29" spans="2:13" x14ac:dyDescent="0.35">
      <c r="B29" t="s">
        <v>81</v>
      </c>
    </row>
    <row r="30" spans="2:13" x14ac:dyDescent="0.35">
      <c r="B30" t="s">
        <v>215</v>
      </c>
    </row>
    <row r="31" spans="2:13" x14ac:dyDescent="0.35">
      <c r="B31" t="s">
        <v>65</v>
      </c>
    </row>
    <row r="32" spans="2:13" x14ac:dyDescent="0.35">
      <c r="B32" t="s">
        <v>179</v>
      </c>
    </row>
    <row r="33" spans="2:2" x14ac:dyDescent="0.35">
      <c r="B33" t="s">
        <v>14</v>
      </c>
    </row>
    <row r="34" spans="2:2" x14ac:dyDescent="0.35">
      <c r="B34" t="s">
        <v>87</v>
      </c>
    </row>
    <row r="35" spans="2:2" x14ac:dyDescent="0.35">
      <c r="B35" t="s">
        <v>15</v>
      </c>
    </row>
    <row r="36" spans="2:2" x14ac:dyDescent="0.35">
      <c r="B36" t="s">
        <v>166</v>
      </c>
    </row>
    <row r="37" spans="2:2" x14ac:dyDescent="0.35">
      <c r="B37" t="s">
        <v>16</v>
      </c>
    </row>
  </sheetData>
  <mergeCells count="3">
    <mergeCell ref="A1:B1"/>
    <mergeCell ref="P1:S1"/>
    <mergeCell ref="V1:AB1"/>
  </mergeCells>
  <phoneticPr fontId="2" type="noConversion"/>
  <conditionalFormatting sqref="W3:X18 Z3:AB18">
    <cfRule type="expression" dxfId="17" priority="1">
      <formula>W3=""</formula>
    </cfRule>
  </conditionalFormatting>
  <conditionalFormatting sqref="S3:S5">
    <cfRule type="containsText" dxfId="16" priority="2" operator="containsText" text="INATIVO">
      <formula>NOT(ISERROR(SEARCH("INATIVO",S3)))</formula>
    </cfRule>
    <cfRule type="containsText" dxfId="15" priority="3" operator="containsText" text="ATIVO">
      <formula>NOT(ISERROR(SEARCH("ATIVO",S3)))</formula>
    </cfRule>
  </conditionalFormatting>
  <dataValidations count="3">
    <dataValidation type="whole" operator="greaterThan" sqref="Q3:R5" xr:uid="{33C81DA0-721E-4883-B2AC-FFD6616FB4FA}">
      <formula1>0</formula1>
    </dataValidation>
    <dataValidation type="list" sqref="S3:T3" xr:uid="{4F621DF7-FA03-4E2F-A801-08A7BBB3A609}">
      <formula1>lista_status_generico</formula1>
    </dataValidation>
    <dataValidation showInputMessage="1" showErrorMessage="1" sqref="P3:P5" xr:uid="{D59F2C13-2025-4785-914C-68A9187E108F}"/>
  </dataValidations>
  <pageMargins left="0.75" right="0.75" top="1" bottom="1" header="0.5" footer="0.5"/>
  <pageSetup paperSize="9" orientation="portrait" r:id="rId1"/>
  <legacyDrawing r:id="rId2"/>
  <tableParts count="3"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436B4-253F-44D1-BE99-0B4A8D13E5A8}">
  <sheetPr codeName="Folha1">
    <tabColor theme="1" tint="4.9989318521683403E-2"/>
  </sheetPr>
  <dimension ref="A1:J10"/>
  <sheetViews>
    <sheetView showGridLines="0" zoomScaleNormal="100" workbookViewId="0">
      <pane ySplit="1" topLeftCell="A2" activePane="bottomLeft" state="frozen"/>
      <selection pane="bottomLeft" activeCell="C12" sqref="C12"/>
    </sheetView>
  </sheetViews>
  <sheetFormatPr defaultRowHeight="14.5" x14ac:dyDescent="0.35"/>
  <cols>
    <col min="1" max="1" width="46.81640625" style="4" bestFit="1" customWidth="1"/>
    <col min="2" max="2" width="13.81640625" style="4" bestFit="1" customWidth="1"/>
    <col min="3" max="3" width="19.90625" style="4" customWidth="1"/>
    <col min="4" max="4" width="12.453125" customWidth="1"/>
    <col min="5" max="5" width="16.81640625" customWidth="1"/>
    <col min="6" max="7" width="2.6328125" customWidth="1"/>
    <col min="8" max="8" width="16.1796875" bestFit="1" customWidth="1"/>
    <col min="9" max="9" width="9.36328125" bestFit="1" customWidth="1"/>
  </cols>
  <sheetData>
    <row r="1" spans="1:10" ht="17" customHeight="1" x14ac:dyDescent="0.35">
      <c r="A1" s="83" t="s">
        <v>206</v>
      </c>
      <c r="B1" s="83"/>
      <c r="C1" s="83"/>
      <c r="D1" s="83"/>
      <c r="E1" s="83"/>
      <c r="H1" s="83" t="s">
        <v>256</v>
      </c>
      <c r="I1" s="83"/>
      <c r="J1" s="83"/>
    </row>
    <row r="2" spans="1:10" x14ac:dyDescent="0.35">
      <c r="A2" s="26" t="s">
        <v>251</v>
      </c>
      <c r="B2" s="26" t="s">
        <v>243</v>
      </c>
      <c r="C2" s="26" t="s">
        <v>252</v>
      </c>
      <c r="D2" s="27" t="s">
        <v>202</v>
      </c>
      <c r="E2" s="27" t="s">
        <v>203</v>
      </c>
    </row>
    <row r="3" spans="1:10" x14ac:dyDescent="0.35">
      <c r="A3" s="33" t="s">
        <v>419</v>
      </c>
      <c r="B3" s="34" t="s">
        <v>246</v>
      </c>
      <c r="C3" s="36">
        <v>45813</v>
      </c>
      <c r="D3" s="35" t="s">
        <v>420</v>
      </c>
      <c r="E3" s="37">
        <v>46156</v>
      </c>
    </row>
    <row r="4" spans="1:10" x14ac:dyDescent="0.35">
      <c r="A4" s="33" t="s">
        <v>421</v>
      </c>
      <c r="B4" s="34" t="s">
        <v>246</v>
      </c>
      <c r="C4" s="36">
        <v>45843</v>
      </c>
      <c r="D4" s="35" t="s">
        <v>420</v>
      </c>
      <c r="E4" s="37">
        <v>46156</v>
      </c>
    </row>
    <row r="5" spans="1:10" x14ac:dyDescent="0.35">
      <c r="A5" s="33" t="s">
        <v>422</v>
      </c>
      <c r="B5" s="34" t="s">
        <v>246</v>
      </c>
      <c r="C5" s="36">
        <v>45935</v>
      </c>
      <c r="D5" s="35" t="s">
        <v>420</v>
      </c>
      <c r="E5" s="37">
        <v>46156</v>
      </c>
    </row>
    <row r="6" spans="1:10" x14ac:dyDescent="0.35">
      <c r="A6" s="33" t="s">
        <v>423</v>
      </c>
      <c r="B6" s="34" t="s">
        <v>246</v>
      </c>
      <c r="C6" s="36">
        <v>45881</v>
      </c>
      <c r="D6" s="35" t="s">
        <v>420</v>
      </c>
      <c r="E6" s="37">
        <v>46156</v>
      </c>
    </row>
    <row r="7" spans="1:10" x14ac:dyDescent="0.35">
      <c r="A7" s="33" t="s">
        <v>424</v>
      </c>
      <c r="B7" s="34" t="s">
        <v>246</v>
      </c>
      <c r="C7" s="36">
        <v>45946</v>
      </c>
      <c r="D7" s="35" t="s">
        <v>420</v>
      </c>
      <c r="E7" s="37">
        <v>46156</v>
      </c>
    </row>
    <row r="8" spans="1:10" x14ac:dyDescent="0.35">
      <c r="A8" s="33" t="s">
        <v>425</v>
      </c>
      <c r="B8" s="34" t="s">
        <v>246</v>
      </c>
      <c r="C8" s="36">
        <v>46027</v>
      </c>
      <c r="D8" s="35" t="s">
        <v>420</v>
      </c>
      <c r="E8" s="37">
        <v>46156</v>
      </c>
    </row>
    <row r="9" spans="1:10" x14ac:dyDescent="0.35">
      <c r="A9" s="33" t="s">
        <v>426</v>
      </c>
      <c r="B9" s="34" t="s">
        <v>246</v>
      </c>
      <c r="C9" s="36">
        <v>46004</v>
      </c>
      <c r="D9" s="35" t="s">
        <v>420</v>
      </c>
      <c r="E9" s="37">
        <v>46156</v>
      </c>
    </row>
    <row r="10" spans="1:10" x14ac:dyDescent="0.35">
      <c r="A10" s="33" t="s">
        <v>427</v>
      </c>
      <c r="B10" s="34" t="s">
        <v>246</v>
      </c>
      <c r="C10" s="36">
        <v>46117</v>
      </c>
      <c r="D10" s="35" t="s">
        <v>420</v>
      </c>
      <c r="E10" s="37">
        <v>46156</v>
      </c>
    </row>
  </sheetData>
  <mergeCells count="2">
    <mergeCell ref="A1:E1"/>
    <mergeCell ref="H1:J1"/>
  </mergeCells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2753261-712D-4EF9-9BBE-5C0F5AAF692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6</vt:i4>
      </vt:variant>
    </vt:vector>
  </HeadingPairs>
  <TitlesOfParts>
    <vt:vector size="6" baseType="lpstr">
      <vt:lpstr>Lancamentos_Eventuais</vt:lpstr>
      <vt:lpstr>Lancamentos_Fixos</vt:lpstr>
      <vt:lpstr>PQ_Base_Opcoes_Formatada</vt:lpstr>
      <vt:lpstr>AUX_Base_Opcoes</vt:lpstr>
      <vt:lpstr>Base_Opcoes</vt:lpstr>
      <vt:lpstr>Configs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Victor Ozores</cp:lastModifiedBy>
  <cp:lastPrinted>2026-01-05T12:20:24Z</cp:lastPrinted>
  <dcterms:created xsi:type="dcterms:W3CDTF">2025-11-22T17:35:33Z</dcterms:created>
  <dcterms:modified xsi:type="dcterms:W3CDTF">2026-05-15T15:07:55Z</dcterms:modified>
</cp:coreProperties>
</file>