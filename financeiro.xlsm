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CTOR\Desktop\Workspaces\FinOps\"/>
    </mc:Choice>
  </mc:AlternateContent>
  <xr:revisionPtr revIDLastSave="0" documentId="13_ncr:1_{4793791F-6FE8-4638-9AA2-B6BEFF537644}" xr6:coauthVersionLast="47" xr6:coauthVersionMax="47" xr10:uidLastSave="{00000000-0000-0000-0000-000000000000}"/>
  <bookViews>
    <workbookView xWindow="-110" yWindow="-110" windowWidth="25820" windowHeight="14020" tabRatio="747" activeTab="5" xr2:uid="{00000000-000D-0000-FFFF-FFFF00000000}"/>
  </bookViews>
  <sheets>
    <sheet name="Lancamentos_Eventuais" sheetId="2" r:id="rId1"/>
    <sheet name="Lancamentos_Fixos" sheetId="11" r:id="rId2"/>
    <sheet name="PQ_Base_Opcoes_Formatada" sheetId="5" state="hidden" r:id="rId3"/>
    <sheet name="AUX_Base_Opcoes" sheetId="6" state="hidden" r:id="rId4"/>
    <sheet name="Base_Opcoes" sheetId="1" r:id="rId5"/>
    <sheet name="Configs" sheetId="12" r:id="rId6"/>
  </sheets>
  <functionGroups builtInGroupCount="19"/>
  <definedNames>
    <definedName name="_xleta.IF" hidden="1" xlm="1">#NAME?</definedName>
    <definedName name="_xleta.SUM" hidden="1" xlm="1">#NAME?</definedName>
    <definedName name="DadosExternos_1" localSheetId="2" hidden="1">PQ_Base_Opcoes_Formatada!$A$1:$U$36</definedName>
    <definedName name="lista_cartao_credito">OFFSET(AUX_Base_Opcoes!$A$1,1,MATCH("CARTAO_CREDITO",AUX_Base_Opcoes!$1:$1,0)-1,COUNTA(OFFSET(AUX_Base_Opcoes!$A$1,1,MATCH("CARTAO_CREDITO",AUX_Base_Opcoes!$1:$1,0)-1,1000,1)),1)</definedName>
    <definedName name="lista_categoria_lancamento">OFFSET(AUX_Base_Opcoes!$A$1,1,MATCH("CATEGORIA_LANCAMENTO",AUX_Base_Opcoes!$1:$1,0)-1,COUNTA(OFFSET(AUX_Base_Opcoes!$A$1,1,MATCH("CATEGORIA_LANCAMENTO",AUX_Base_Opcoes!$1:$1,0)-1,1000,1)),1)</definedName>
    <definedName name="lista_frequencia">OFFSET(AUX_Base_Opcoes!$A$1,1,MATCH("FREQUENCIA",AUX_Base_Opcoes!$1:$1,0)-1,COUNTA(OFFSET(AUX_Base_Opcoes!$A$1,1,MATCH("FREQUENCIA",AUX_Base_Opcoes!$1:$1,0)-1,1000,1)),1)</definedName>
    <definedName name="lista_metodos_pagamento">OFFSET(AUX_Base_Opcoes!$A$1,1,MATCH("METODO_PAGAMENTO",AUX_Base_Opcoes!$1:$1,0)-1,COUNTA(OFFSET(AUX_Base_Opcoes!$A$1,1,MATCH("METODO_PAGAMENTO",AUX_Base_Opcoes!$1:$1,0)-1,1000,1)),1)</definedName>
    <definedName name="lista_responsavel">OFFSET(AUX_Base_Opcoes!$A$1,1,MATCH("RESPONSAVEL",AUX_Base_Opcoes!$1:$1,0)-1,COUNTA(OFFSET(AUX_Base_Opcoes!$A$1,1,MATCH("RESPONSAVEL",AUX_Base_Opcoes!$1:$1,0)-1,1000,1)),1)</definedName>
    <definedName name="lista_status_generico">OFFSET(AUX_Base_Opcoes!$A$1,1,MATCH("STATUS_GENERICO",AUX_Base_Opcoes!$1:$1,0)-1,COUNTA(OFFSET(AUX_Base_Opcoes!$A$1,1,MATCH("STATUS_GENERICO",AUX_Base_Opcoes!$1:$1,0)-1,1000,1)),1)</definedName>
    <definedName name="lista_status_pagamento_lancamento">OFFSET(AUX_Base_Opcoes!$A$1,1,MATCH("STATUS_PAGAMENTO",AUX_Base_Opcoes!$1:$1,0)-1,COUNTA(OFFSET(AUX_Base_Opcoes!$A$1,1,MATCH("STATUS_PAGAMENTO",AUX_Base_Opcoes!$1:$1,0)-1,1000,1)),1)</definedName>
    <definedName name="lista_tipo_lancamento">OFFSET(AUX_Base_Opcoes!$A$1,1,MATCH("TIPO_LANCAMENTO",AUX_Base_Opcoes!$1:$1,0)-1,COUNTA(OFFSET(AUX_Base_Opcoes!$A$1,1,MATCH("TIPO_LANCAMENTO",AUX_Base_Opcoes!$1:$1,0)-1,1000,1)),1)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6" l="1" a="1"/>
  <c r="A1" i="6" s="1"/>
  <c r="L2" i="6" a="1"/>
  <c r="BJ2" i="6" a="1"/>
  <c r="HB2" i="6" a="1"/>
  <c r="BH2" i="6" a="1"/>
  <c r="F2" i="6" a="1"/>
  <c r="EW2" i="6" a="1"/>
  <c r="DN2" i="6" a="1"/>
  <c r="BR2" i="6" a="1"/>
  <c r="D2" i="6" a="1"/>
  <c r="BQ2" i="6" a="1"/>
  <c r="CR2" i="6" a="1"/>
  <c r="EC2" i="6" a="1"/>
  <c r="GJ2" i="6" a="1"/>
  <c r="BO2" i="6" a="1"/>
  <c r="X2" i="6" a="1"/>
  <c r="AF2" i="6" a="1"/>
  <c r="BD2" i="6" a="1"/>
  <c r="GT2" i="6" a="1"/>
  <c r="B2" i="6" a="1"/>
  <c r="CK2" i="6" a="1"/>
  <c r="DK2" i="6" a="1"/>
  <c r="FV2" i="6" a="1"/>
  <c r="EK2" i="6" a="1"/>
  <c r="E2" i="6" a="1"/>
  <c r="BX2" i="6" a="1"/>
  <c r="W2" i="6" a="1"/>
  <c r="HJ2" i="6" a="1"/>
  <c r="EN2" i="6" a="1"/>
  <c r="CE2" i="6" a="1"/>
  <c r="DM2" i="6" a="1"/>
  <c r="HR2" i="6" a="1"/>
  <c r="GE2" i="6" a="1"/>
  <c r="DT2" i="6" a="1"/>
  <c r="GL2" i="6" a="1"/>
  <c r="GN2" i="6" a="1"/>
  <c r="IF2" i="6" a="1"/>
  <c r="CX2" i="6" a="1"/>
  <c r="AY2" i="6" a="1"/>
  <c r="IB2" i="6" a="1"/>
  <c r="AS2" i="6" a="1"/>
  <c r="BY2" i="6" a="1"/>
  <c r="Y2" i="6" a="1"/>
  <c r="BF2" i="6" a="1"/>
  <c r="HY2" i="6" a="1"/>
  <c r="CB2" i="6" a="1"/>
  <c r="FY2" i="6" a="1"/>
  <c r="C2" i="6" a="1"/>
  <c r="DY2" i="6" a="1"/>
  <c r="HH2" i="6" a="1"/>
  <c r="IJ2" i="6" a="1"/>
  <c r="GH2" i="6" a="1"/>
  <c r="GC2" i="6" a="1"/>
  <c r="FK2" i="6" a="1"/>
  <c r="HI2" i="6" a="1"/>
  <c r="BW2" i="6" a="1"/>
  <c r="AN2" i="6" a="1"/>
  <c r="AB2" i="6" a="1"/>
  <c r="HN2" i="6" a="1"/>
  <c r="GM2" i="6" a="1"/>
  <c r="BP2" i="6" a="1"/>
  <c r="DP2" i="6" a="1"/>
  <c r="CI2" i="6" a="1"/>
  <c r="BK2" i="6" a="1"/>
  <c r="P2" i="6" a="1"/>
  <c r="GZ2" i="6" a="1"/>
  <c r="IC2" i="6" a="1"/>
  <c r="HD2" i="6" a="1"/>
  <c r="DF2" i="6" a="1"/>
  <c r="BN2" i="6" a="1"/>
  <c r="EO2" i="6" a="1"/>
  <c r="CS2" i="6" a="1"/>
  <c r="HW2" i="6" a="1"/>
  <c r="IK2" i="6" a="1"/>
  <c r="GO2" i="6" a="1"/>
  <c r="GG2" i="6" a="1"/>
  <c r="HS2" i="6" a="1"/>
  <c r="BA2" i="6" a="1"/>
  <c r="EA2" i="6" a="1"/>
  <c r="FN2" i="6" a="1"/>
  <c r="FH2" i="6" a="1"/>
  <c r="A2" i="6" a="1"/>
  <c r="EP2" i="6" a="1"/>
  <c r="AC2" i="6" a="1"/>
  <c r="GK2" i="6" a="1"/>
  <c r="IM2" i="6" a="1"/>
  <c r="CM2" i="6" a="1"/>
  <c r="IL2" i="6" a="1"/>
  <c r="ID2" i="6" a="1"/>
  <c r="DV2" i="6" a="1"/>
  <c r="HL2" i="6" a="1"/>
  <c r="EQ2" i="6" a="1"/>
  <c r="FQ2" i="6" a="1"/>
  <c r="HT2" i="6" a="1"/>
  <c r="AD2" i="6" a="1"/>
  <c r="CY2" i="6" a="1"/>
  <c r="DI2" i="6" a="1"/>
  <c r="GQ2" i="6" a="1"/>
  <c r="HX2" i="6" a="1"/>
  <c r="HG2" i="6" a="1"/>
  <c r="HE2" i="6" a="1"/>
  <c r="HM2" i="6" a="1"/>
  <c r="DS2" i="6" a="1"/>
  <c r="AI2" i="6" a="1"/>
  <c r="CA2" i="6" a="1"/>
  <c r="BM2" i="6" a="1"/>
  <c r="II2" i="6" a="1"/>
  <c r="IH2" i="6" a="1"/>
  <c r="AE2" i="6" a="1"/>
  <c r="FP2" i="6" a="1"/>
  <c r="DO2" i="6" a="1"/>
  <c r="DU2" i="6" a="1"/>
  <c r="N2" i="6" a="1"/>
  <c r="FB2" i="6" a="1"/>
  <c r="CD2" i="6" a="1"/>
  <c r="AL2" i="6" a="1"/>
  <c r="IG2" i="6" a="1"/>
  <c r="CV2" i="6" a="1"/>
  <c r="AG2" i="6" a="1"/>
  <c r="DC2" i="6" a="1"/>
  <c r="EB2" i="6" a="1"/>
  <c r="DX2" i="6" a="1"/>
  <c r="HK2" i="6" a="1"/>
  <c r="FD2" i="6" a="1"/>
  <c r="AK2" i="6" a="1"/>
  <c r="EU2" i="6" a="1"/>
  <c r="FS2" i="6" a="1"/>
  <c r="R2" i="6" a="1"/>
  <c r="ES2" i="6" a="1"/>
  <c r="AT2" i="6" a="1"/>
  <c r="M2" i="6" a="1"/>
  <c r="Q2" i="6" a="1"/>
  <c r="EE2" i="6" a="1"/>
  <c r="BT2" i="6" a="1"/>
  <c r="FG2" i="6" a="1"/>
  <c r="DA2" i="6" a="1"/>
  <c r="EH2" i="6" a="1"/>
  <c r="CO2" i="6" a="1"/>
  <c r="IA2" i="6" a="1"/>
  <c r="AU2" i="6" a="1"/>
  <c r="CN2" i="6" a="1"/>
  <c r="AZ2" i="6" a="1"/>
  <c r="DL2" i="6" a="1"/>
  <c r="GY2" i="6" a="1"/>
  <c r="HF2" i="6" a="1"/>
  <c r="EZ2" i="6" a="1"/>
  <c r="GU2" i="6" a="1"/>
  <c r="CU2" i="6" a="1"/>
  <c r="HU2" i="6" a="1"/>
  <c r="EJ2" i="6" a="1"/>
  <c r="IN2" i="6" a="1"/>
  <c r="CC2" i="6" a="1"/>
  <c r="GX2" i="6" a="1"/>
  <c r="BS2" i="6" a="1"/>
  <c r="BV2" i="6" a="1"/>
  <c r="GA2" i="6" a="1"/>
  <c r="CH2" i="6" a="1"/>
  <c r="BC2" i="6" a="1"/>
  <c r="FC2" i="6" a="1"/>
  <c r="BI2" i="6" a="1"/>
  <c r="ER2" i="6" a="1"/>
  <c r="FO2" i="6" a="1"/>
  <c r="AA2" i="6" a="1"/>
  <c r="DD2" i="6" a="1"/>
  <c r="CT2" i="6" a="1"/>
  <c r="G2" i="6" a="1"/>
  <c r="J2" i="6" a="1"/>
  <c r="H2" i="6" a="1"/>
  <c r="GF2" i="6" a="1"/>
  <c r="EM2" i="6" a="1"/>
  <c r="CL2" i="6" a="1"/>
  <c r="FR2" i="6" a="1"/>
  <c r="BZ2" i="6" a="1"/>
  <c r="DW2" i="6" a="1"/>
  <c r="GI2" i="6" a="1"/>
  <c r="Z2" i="6" a="1"/>
  <c r="T2" i="6" a="1"/>
  <c r="CZ2" i="6" a="1"/>
  <c r="HV2" i="6" a="1"/>
  <c r="O2" i="6" a="1"/>
  <c r="EF2" i="6" a="1"/>
  <c r="EX2" i="6" a="1"/>
  <c r="I2" i="6" a="1"/>
  <c r="HO2" i="6" a="1"/>
  <c r="HP2" i="6" a="1"/>
  <c r="CF2" i="6" a="1"/>
  <c r="AJ2" i="6" a="1"/>
  <c r="GW2" i="6" a="1"/>
  <c r="EG2" i="6" a="1"/>
  <c r="EY2" i="6" a="1"/>
  <c r="FL2" i="6" a="1"/>
  <c r="K2" i="6" a="1"/>
  <c r="ET2" i="6" a="1"/>
  <c r="DQ2" i="6" a="1"/>
  <c r="AH2" i="6" a="1"/>
  <c r="GR2" i="6" a="1"/>
  <c r="EI2" i="6" a="1"/>
  <c r="CJ2" i="6" a="1"/>
  <c r="GB2" i="6" a="1"/>
  <c r="FJ2" i="6" a="1"/>
  <c r="AQ2" i="6" a="1"/>
  <c r="FI2" i="6" a="1"/>
  <c r="GP2" i="6" a="1"/>
  <c r="CG2" i="6" a="1"/>
  <c r="CQ2" i="6" a="1"/>
  <c r="AR2" i="6" a="1"/>
  <c r="EL2" i="6" a="1"/>
  <c r="CP2" i="6" a="1"/>
  <c r="IE2" i="6" a="1"/>
  <c r="BU2" i="6" a="1"/>
  <c r="DB2" i="6" a="1"/>
  <c r="AP2" i="6" a="1"/>
  <c r="AM2" i="6" a="1"/>
  <c r="U2" i="6" a="1"/>
  <c r="HZ2" i="6" a="1"/>
  <c r="AO2" i="6" a="1"/>
  <c r="EV2" i="6" a="1"/>
  <c r="FM2" i="6" a="1"/>
  <c r="BB2" i="6" a="1"/>
  <c r="AX2" i="6" a="1"/>
  <c r="FT2" i="6" a="1"/>
  <c r="BE2" i="6" a="1"/>
  <c r="HC2" i="6" a="1"/>
  <c r="GV2" i="6" a="1"/>
  <c r="AW2" i="6" a="1"/>
  <c r="GD2" i="6" a="1"/>
  <c r="V2" i="6" a="1"/>
  <c r="AV2" i="6" a="1"/>
  <c r="CW2" i="6" a="1"/>
  <c r="FF2" i="6" a="1"/>
  <c r="ED2" i="6" a="1"/>
  <c r="DR2" i="6" a="1"/>
  <c r="DG2" i="6" a="1"/>
  <c r="FW2" i="6" a="1"/>
  <c r="FU2" i="6" a="1"/>
  <c r="BL2" i="6" a="1"/>
  <c r="DZ2" i="6" a="1"/>
  <c r="FE2" i="6" a="1"/>
  <c r="GS2" i="6" a="1"/>
  <c r="DJ2" i="6" a="1"/>
  <c r="FA2" i="6" a="1"/>
  <c r="FZ2" i="6" a="1"/>
  <c r="DH2" i="6" a="1"/>
  <c r="DE2" i="6" a="1"/>
  <c r="HQ2" i="6" a="1"/>
  <c r="S2" i="6" a="1"/>
  <c r="HA2" i="6" a="1"/>
  <c r="FX2" i="6" a="1"/>
  <c r="BG2" i="6" a="1"/>
  <c r="EH2" i="6" l="1"/>
  <c r="BE2" i="6"/>
  <c r="GM2" i="6"/>
  <c r="CV2" i="6"/>
  <c r="HI2" i="6"/>
  <c r="CM2" i="6"/>
  <c r="AD2" i="6"/>
  <c r="CC2" i="6"/>
  <c r="GG2" i="6"/>
  <c r="HV2" i="6"/>
  <c r="GN2" i="6"/>
  <c r="G2" i="6"/>
  <c r="W2" i="6"/>
  <c r="DG2" i="6"/>
  <c r="HL2" i="6"/>
  <c r="BW2" i="6"/>
  <c r="AN2" i="6"/>
  <c r="B2" i="6"/>
  <c r="DO2" i="6"/>
  <c r="CO2" i="6"/>
  <c r="BX2" i="6"/>
  <c r="CW2" i="6"/>
  <c r="HU2" i="6"/>
  <c r="DT2" i="6"/>
  <c r="BN2" i="6"/>
  <c r="IJ2" i="6"/>
  <c r="AT2" i="6"/>
  <c r="GL2" i="6"/>
  <c r="BC2" i="6"/>
  <c r="BT2" i="6"/>
  <c r="IN2" i="6"/>
  <c r="HE2" i="6"/>
  <c r="EK2" i="6"/>
  <c r="FI2" i="6"/>
  <c r="BJ2" i="6"/>
  <c r="CR2" i="6"/>
  <c r="FE2" i="6"/>
  <c r="EO2" i="6"/>
  <c r="O2" i="6"/>
  <c r="J2" i="6"/>
  <c r="ED2" i="6"/>
  <c r="BB2" i="6"/>
  <c r="GZ2" i="6"/>
  <c r="BH2" i="6"/>
  <c r="ID2" i="6"/>
  <c r="DX2" i="6"/>
  <c r="HB2" i="6"/>
  <c r="II2" i="6"/>
  <c r="AK2" i="6"/>
  <c r="FG2" i="6"/>
  <c r="IE2" i="6"/>
  <c r="CG2" i="6"/>
  <c r="AM2" i="6"/>
  <c r="GT2" i="6"/>
  <c r="CK2" i="6"/>
  <c r="EZ2" i="6"/>
  <c r="AA2" i="6"/>
  <c r="FK2" i="6"/>
  <c r="GJ2" i="6"/>
  <c r="DR2" i="6"/>
  <c r="IK2" i="6"/>
  <c r="AO2" i="6"/>
  <c r="HF2" i="6"/>
  <c r="R2" i="6"/>
  <c r="DP2" i="6"/>
  <c r="DM2" i="6"/>
  <c r="IF2" i="6"/>
  <c r="I2" i="6"/>
  <c r="EL2" i="6"/>
  <c r="GB2" i="6"/>
  <c r="GS2" i="6"/>
  <c r="BK2" i="6"/>
  <c r="AQ2" i="6"/>
  <c r="BQ2" i="6"/>
  <c r="DI2" i="6"/>
  <c r="GA2" i="6"/>
  <c r="Q2" i="6"/>
  <c r="IH2" i="6"/>
  <c r="GX2" i="6"/>
  <c r="FF2" i="6"/>
  <c r="E2" i="6"/>
  <c r="AJ2" i="6"/>
  <c r="FU2" i="6"/>
  <c r="EP2" i="6"/>
  <c r="DE2" i="6"/>
  <c r="HK2" i="6"/>
  <c r="FZ2" i="6"/>
  <c r="EN2" i="6"/>
  <c r="AB2" i="6"/>
  <c r="HJ2" i="6"/>
  <c r="HX2" i="6"/>
  <c r="BO2" i="6"/>
  <c r="EA2" i="6"/>
  <c r="HP2" i="6"/>
  <c r="HO2" i="6"/>
  <c r="BL2" i="6"/>
  <c r="GW2" i="6"/>
  <c r="DA2" i="6"/>
  <c r="FO2" i="6"/>
  <c r="BA2" i="6"/>
  <c r="AV2" i="6"/>
  <c r="C2" i="6"/>
  <c r="U2" i="6"/>
  <c r="GK2" i="6"/>
  <c r="CS2" i="6"/>
  <c r="DV2" i="6"/>
  <c r="FQ2" i="6"/>
  <c r="DQ2" i="6"/>
  <c r="HD2" i="6"/>
  <c r="AZ2" i="6"/>
  <c r="EQ2" i="6"/>
  <c r="CL2" i="6"/>
  <c r="CP2" i="6"/>
  <c r="AP2" i="6"/>
  <c r="HQ2" i="6"/>
  <c r="AH2" i="6"/>
  <c r="GQ2" i="6"/>
  <c r="GR2" i="6"/>
  <c r="HG2" i="6"/>
  <c r="DW2" i="6"/>
  <c r="AX2" i="6"/>
  <c r="K2" i="6"/>
  <c r="HY2" i="6"/>
  <c r="GF2" i="6"/>
  <c r="N2" i="6"/>
  <c r="ER2" i="6"/>
  <c r="IL2" i="6"/>
  <c r="DH2" i="6"/>
  <c r="DF2" i="6"/>
  <c r="DS2" i="6"/>
  <c r="F2" i="6"/>
  <c r="L2" i="6"/>
  <c r="GC2" i="6"/>
  <c r="BF2" i="6"/>
  <c r="CB2" i="6"/>
  <c r="FS2" i="6"/>
  <c r="BM2" i="6"/>
  <c r="FL2" i="6"/>
  <c r="FY2" i="6"/>
  <c r="M2" i="6"/>
  <c r="HZ2" i="6"/>
  <c r="DD2" i="6"/>
  <c r="BZ2" i="6"/>
  <c r="HM2" i="6"/>
  <c r="CH2" i="6"/>
  <c r="AG2" i="6"/>
  <c r="CE2" i="6"/>
  <c r="P2" i="6"/>
  <c r="H2" i="6"/>
  <c r="AC2" i="6"/>
  <c r="AI2" i="6"/>
  <c r="IG2" i="6"/>
  <c r="FJ2" i="6"/>
  <c r="CI2" i="6"/>
  <c r="FV2" i="6"/>
  <c r="CQ2" i="6"/>
  <c r="DK2" i="6"/>
  <c r="DU2" i="6"/>
  <c r="FM2" i="6"/>
  <c r="HT2" i="6"/>
  <c r="HC2" i="6"/>
  <c r="DL2" i="6"/>
  <c r="AU2" i="6"/>
  <c r="V2" i="6"/>
  <c r="ES2" i="6"/>
  <c r="EC2" i="6"/>
  <c r="EV2" i="6"/>
  <c r="Z2" i="6"/>
  <c r="X2" i="6"/>
  <c r="FA2" i="6"/>
  <c r="CN2" i="6"/>
  <c r="FD2" i="6"/>
  <c r="AR2" i="6"/>
  <c r="DB2" i="6"/>
  <c r="GE2" i="6"/>
  <c r="GU2" i="6"/>
  <c r="AF2" i="6"/>
  <c r="HN2" i="6"/>
  <c r="CU2" i="6"/>
  <c r="EI2" i="6"/>
  <c r="AW2" i="6"/>
  <c r="IM2" i="6"/>
  <c r="EG2" i="6"/>
  <c r="FX2" i="6"/>
  <c r="CZ2" i="6"/>
  <c r="D2" i="6"/>
  <c r="EW2" i="6"/>
  <c r="EY2" i="6"/>
  <c r="BY2" i="6"/>
  <c r="BI2" i="6"/>
  <c r="FB2" i="6"/>
  <c r="HH2" i="6"/>
  <c r="ET2" i="6"/>
  <c r="CD2" i="6"/>
  <c r="GV2" i="6"/>
  <c r="EX2" i="6"/>
  <c r="T2" i="6"/>
  <c r="CJ2" i="6"/>
  <c r="GP2" i="6"/>
  <c r="FH2" i="6"/>
  <c r="A2" i="6"/>
  <c r="DC2" i="6"/>
  <c r="CT2" i="6"/>
  <c r="GI2" i="6"/>
  <c r="BP2" i="6"/>
  <c r="FN2" i="6"/>
  <c r="HA2" i="6"/>
  <c r="BG2" i="6"/>
  <c r="CA2" i="6"/>
  <c r="EF2" i="6"/>
  <c r="EB2" i="6"/>
  <c r="EJ2" i="6"/>
  <c r="BU2" i="6"/>
  <c r="DN2" i="6"/>
  <c r="FT2" i="6"/>
  <c r="AE2" i="6"/>
  <c r="HW2" i="6"/>
  <c r="S2" i="6"/>
  <c r="AS2" i="6"/>
  <c r="CX2" i="6"/>
  <c r="GD2" i="6"/>
  <c r="BV2" i="6"/>
  <c r="AY2" i="6"/>
  <c r="GH2" i="6"/>
  <c r="IA2" i="6"/>
  <c r="FW2" i="6"/>
  <c r="DY2" i="6"/>
  <c r="BD2" i="6"/>
  <c r="EE2" i="6"/>
  <c r="CF2" i="6"/>
  <c r="IB2" i="6"/>
  <c r="FP2" i="6"/>
  <c r="CY2" i="6"/>
  <c r="EU2" i="6"/>
  <c r="AL2" i="6"/>
  <c r="DZ2" i="6"/>
  <c r="GO2" i="6"/>
  <c r="GY2" i="6"/>
  <c r="IC2" i="6"/>
  <c r="Y2" i="6"/>
  <c r="DJ2" i="6"/>
  <c r="BS2" i="6"/>
  <c r="FC2" i="6"/>
  <c r="HS2" i="6"/>
  <c r="HR2" i="6"/>
  <c r="FR2" i="6"/>
  <c r="EM2" i="6"/>
  <c r="BR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72F34-79AA-484E-BAD5-D2BA02546CCA}" keepAlive="1" name="Consulta - PQ_Base_Opcoes_Formatada" description="Conexão com a consulta 'PQ_Base_Opcoes_Formatada' na pasta de trabalho." type="5" refreshedVersion="8" background="1" refreshOnLoad="1" saveData="1">
    <dbPr connection="Provider=Microsoft.Mashup.OleDb.1;Data Source=$Workbook$;Location=PQ_Base_Opcoes_Formatada;Extended Properties=&quot;&quot;" command="SELECT * FROM [PQ_Base_Opcoes_Formatad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<sst xmlns="http://schemas.openxmlformats.org/spreadsheetml/2006/main" count="534" uniqueCount="261">
  <si>
    <t>RESPONSAVEL</t>
  </si>
  <si>
    <t>METODO_PAGAMENTO</t>
  </si>
  <si>
    <t>CARTAO CREDITO</t>
  </si>
  <si>
    <t>CARTAO DEBITO</t>
  </si>
  <si>
    <t>PIX</t>
  </si>
  <si>
    <t>DINHEIRO</t>
  </si>
  <si>
    <t>TRANSFERENCIA</t>
  </si>
  <si>
    <t>ALIMENTACAO</t>
  </si>
  <si>
    <t>RESTAURANTE</t>
  </si>
  <si>
    <t>SUPERMERCADO</t>
  </si>
  <si>
    <t>APPLE ONE</t>
  </si>
  <si>
    <t>HBO MAX</t>
  </si>
  <si>
    <t>KINDLE</t>
  </si>
  <si>
    <t>NETFLIX</t>
  </si>
  <si>
    <t>SPOTIFY</t>
  </si>
  <si>
    <t>TWITCH</t>
  </si>
  <si>
    <t>YOUTUBE PREMIUM</t>
  </si>
  <si>
    <t>BARBEARIA</t>
  </si>
  <si>
    <t>CABELEIREIRO</t>
  </si>
  <si>
    <t>MANICURE</t>
  </si>
  <si>
    <t>INTERNET FIBRA</t>
  </si>
  <si>
    <t>EDUCACAO</t>
  </si>
  <si>
    <t>FACULDADE</t>
  </si>
  <si>
    <t>IDIOMAS</t>
  </si>
  <si>
    <t>FINANCEIRO</t>
  </si>
  <si>
    <t>RESGATE INVESTIMENTO</t>
  </si>
  <si>
    <t>LAZER</t>
  </si>
  <si>
    <t>CINEMA</t>
  </si>
  <si>
    <t>HOBBIES</t>
  </si>
  <si>
    <t>MORADIA</t>
  </si>
  <si>
    <t>ALUGUEL</t>
  </si>
  <si>
    <t>CONDOMINIO</t>
  </si>
  <si>
    <t>ENERGIA ELETRICA</t>
  </si>
  <si>
    <t>IPTU</t>
  </si>
  <si>
    <t>PETS</t>
  </si>
  <si>
    <t>VETERINARIO</t>
  </si>
  <si>
    <t>RECEITA</t>
  </si>
  <si>
    <t>BONUS</t>
  </si>
  <si>
    <t>CASHBACK</t>
  </si>
  <si>
    <t>DIVIDENDOS</t>
  </si>
  <si>
    <t>FERIAS</t>
  </si>
  <si>
    <t>FREELANCE</t>
  </si>
  <si>
    <t>VENDA DE ITENS</t>
  </si>
  <si>
    <t>SAUDE</t>
  </si>
  <si>
    <t>ACADEMIA</t>
  </si>
  <si>
    <t>DENTISTA</t>
  </si>
  <si>
    <t>FARMACIA</t>
  </si>
  <si>
    <t>PILATES</t>
  </si>
  <si>
    <t>PLANO DE SAUDE</t>
  </si>
  <si>
    <t>PSICOLOGO</t>
  </si>
  <si>
    <t>SHOPPING</t>
  </si>
  <si>
    <t>ELETRONICOS</t>
  </si>
  <si>
    <t>PRESENTES</t>
  </si>
  <si>
    <t>TRANSPORTE</t>
  </si>
  <si>
    <t>ESTACIONAMENTO</t>
  </si>
  <si>
    <t>PEDAGIO</t>
  </si>
  <si>
    <t>SEGURO AUTO</t>
  </si>
  <si>
    <t>CATEGORIA</t>
  </si>
  <si>
    <t>SERVICO</t>
  </si>
  <si>
    <t>DESCRICAO</t>
  </si>
  <si>
    <t>IOF</t>
  </si>
  <si>
    <t>PLR</t>
  </si>
  <si>
    <t>IPVA</t>
  </si>
  <si>
    <t>OUTROS</t>
  </si>
  <si>
    <t>CREDITOS DE API</t>
  </si>
  <si>
    <t>SERVIDOR CLOUD</t>
  </si>
  <si>
    <t>BAR</t>
  </si>
  <si>
    <t>CAFETERIA</t>
  </si>
  <si>
    <t>CONVENIENCIA</t>
  </si>
  <si>
    <t>DELIVERY APP</t>
  </si>
  <si>
    <t>FAST FOOD</t>
  </si>
  <si>
    <t>FEIRA LIVRE</t>
  </si>
  <si>
    <t>HORTIFRUTI</t>
  </si>
  <si>
    <t>PADARIA</t>
  </si>
  <si>
    <t>SORVETERIA</t>
  </si>
  <si>
    <t>AMAZON PRIME</t>
  </si>
  <si>
    <t>DISNEY PLUS</t>
  </si>
  <si>
    <t>GLOBOPLAY</t>
  </si>
  <si>
    <t>GOOGLE ONE</t>
  </si>
  <si>
    <t>JORNAL DIGITAL</t>
  </si>
  <si>
    <t>MICROSOFT 365</t>
  </si>
  <si>
    <t>PARAMOUNT</t>
  </si>
  <si>
    <t>MASSAGEM</t>
  </si>
  <si>
    <t>PEDICURE</t>
  </si>
  <si>
    <t>PERFUMARIA</t>
  </si>
  <si>
    <t>CELULAR CONTROLE</t>
  </si>
  <si>
    <t>CELULAR PRE-PAGO</t>
  </si>
  <si>
    <t>TV A CABO</t>
  </si>
  <si>
    <t>CURSOS ONLINE</t>
  </si>
  <si>
    <t>LIVROS TECNICOS</t>
  </si>
  <si>
    <t>MATERIAL DE PAPELARIA</t>
  </si>
  <si>
    <t>MENTORIA</t>
  </si>
  <si>
    <t>WORKSHOPS</t>
  </si>
  <si>
    <t>JUROS DE CHEQUE ESPECIAL</t>
  </si>
  <si>
    <t>MULTAS POR ATRASO</t>
  </si>
  <si>
    <t>PAGAMENTO DE FATURA</t>
  </si>
  <si>
    <t>REEMBOLSO A TERCEIROS</t>
  </si>
  <si>
    <t>SEGURO DE VIDA</t>
  </si>
  <si>
    <t>TARIFA BANCARIA</t>
  </si>
  <si>
    <t>BALADA</t>
  </si>
  <si>
    <t>CLUBE</t>
  </si>
  <si>
    <t>JOGOS DIGITAIS</t>
  </si>
  <si>
    <t>MUSEU</t>
  </si>
  <si>
    <t>PARQUE</t>
  </si>
  <si>
    <t>SHOWS</t>
  </si>
  <si>
    <t>TEATRO</t>
  </si>
  <si>
    <t>VIAGEM HOSPEDAGEM</t>
  </si>
  <si>
    <t>VIAGEM PASSAGEM AEREA</t>
  </si>
  <si>
    <t>VIAGEM PASSEIOS</t>
  </si>
  <si>
    <t>AGUA E ESGOTO</t>
  </si>
  <si>
    <t>ARTIGOS PARA CASA</t>
  </si>
  <si>
    <t>CHAVEIRO</t>
  </si>
  <si>
    <t>DIARISTA</t>
  </si>
  <si>
    <t>GAS ENCANADO</t>
  </si>
  <si>
    <t>JARDINAGEM</t>
  </si>
  <si>
    <t>LAVANDERIA</t>
  </si>
  <si>
    <t>MARCENEIRO</t>
  </si>
  <si>
    <t>MOVEIS</t>
  </si>
  <si>
    <t>REFORMA</t>
  </si>
  <si>
    <t>SEGURO INCENDIO</t>
  </si>
  <si>
    <t>ADESTRAMENTO</t>
  </si>
  <si>
    <t>BANHO</t>
  </si>
  <si>
    <t>HOTEL PARA PETS</t>
  </si>
  <si>
    <t>MEDICAMENTOS PET</t>
  </si>
  <si>
    <t>PASSEADOR</t>
  </si>
  <si>
    <t>TOSA</t>
  </si>
  <si>
    <t>ALUGUEL RECEBIDO</t>
  </si>
  <si>
    <t>PRESENTE EM DINHEIRO</t>
  </si>
  <si>
    <t>REEMBOLSO RECEBIDO</t>
  </si>
  <si>
    <t>CROSSFIT</t>
  </si>
  <si>
    <t>EXAMES</t>
  </si>
  <si>
    <t>FISIOTERAPIA</t>
  </si>
  <si>
    <t>FONOAUDIOLOGO</t>
  </si>
  <si>
    <t>HOSPITAL</t>
  </si>
  <si>
    <t>LABORATORIO</t>
  </si>
  <si>
    <t>MEDICO ESPECIALISTA</t>
  </si>
  <si>
    <t>NUTRICIONISTA</t>
  </si>
  <si>
    <t>PERSONAL TRAINER</t>
  </si>
  <si>
    <t>PSIQUIATRA</t>
  </si>
  <si>
    <t>SUPLEMENTOS</t>
  </si>
  <si>
    <t>TERAPIA ALTERNATIVA</t>
  </si>
  <si>
    <t>VACINAS</t>
  </si>
  <si>
    <t>ACESSORIOS</t>
  </si>
  <si>
    <t>CALCADOS</t>
  </si>
  <si>
    <t>ALUGUEL DE CARRO</t>
  </si>
  <si>
    <t>LAVAGEM AUTOMOTIVA</t>
  </si>
  <si>
    <t>LICENCIAMENTO</t>
  </si>
  <si>
    <t>MECANICA</t>
  </si>
  <si>
    <t>METRO</t>
  </si>
  <si>
    <t>MULTA DE TRANSITO</t>
  </si>
  <si>
    <t>ONIBUS</t>
  </si>
  <si>
    <t>TAXI</t>
  </si>
  <si>
    <t>TRANSPORTE POR APP</t>
  </si>
  <si>
    <t>CARTORIO</t>
  </si>
  <si>
    <t>IMPOSTO DE RENDA A PAGAR</t>
  </si>
  <si>
    <t>SAQUE EM ESPECIE</t>
  </si>
  <si>
    <t>DEBITO AUTOMATICO</t>
  </si>
  <si>
    <t>VALE BENEFICIO</t>
  </si>
  <si>
    <t>CHATGPT</t>
  </si>
  <si>
    <t>CLAUDE</t>
  </si>
  <si>
    <t>COPILOT</t>
  </si>
  <si>
    <t>CURSOR</t>
  </si>
  <si>
    <t>DEEPSEEK</t>
  </si>
  <si>
    <t>GEMINI</t>
  </si>
  <si>
    <t>GROK</t>
  </si>
  <si>
    <t>MIDJOURNEY</t>
  </si>
  <si>
    <t>WINDSURF</t>
  </si>
  <si>
    <t>VALOR</t>
  </si>
  <si>
    <t>ATIVO</t>
  </si>
  <si>
    <t>FATURA A PAGAR</t>
  </si>
  <si>
    <t>DEBITO EM CONTA</t>
  </si>
  <si>
    <t>DEPOSITO</t>
  </si>
  <si>
    <t>BOLETO</t>
  </si>
  <si>
    <t>ROUPAS</t>
  </si>
  <si>
    <t>DATA_EFETIVA</t>
  </si>
  <si>
    <t>PAGO</t>
  </si>
  <si>
    <t>ASSINATURA</t>
  </si>
  <si>
    <t>INATIVO</t>
  </si>
  <si>
    <t>ACOUGUE</t>
  </si>
  <si>
    <t>SOFTWARE LICENCA</t>
  </si>
  <si>
    <t>COSMETICOS</t>
  </si>
  <si>
    <t>DEPILACAO</t>
  </si>
  <si>
    <t>ESTETICA</t>
  </si>
  <si>
    <t>POS-GRADUACAO</t>
  </si>
  <si>
    <t>EMPRESTIMO</t>
  </si>
  <si>
    <t>TAXA DE CARTAO</t>
  </si>
  <si>
    <t>DECORACAO</t>
  </si>
  <si>
    <t>DEDETIZACAO</t>
  </si>
  <si>
    <t>MANUTENCAO GERAL</t>
  </si>
  <si>
    <t>SEGURANCA MONITORADA</t>
  </si>
  <si>
    <t>DOACOES</t>
  </si>
  <si>
    <t>RACAO</t>
  </si>
  <si>
    <t>13º SALARIO</t>
  </si>
  <si>
    <t>COMISSAO</t>
  </si>
  <si>
    <t>RESTITUICAO IR</t>
  </si>
  <si>
    <t>SALARIO</t>
  </si>
  <si>
    <t>COMBUSTIVEL</t>
  </si>
  <si>
    <t>BELEZA_PESSOAL</t>
  </si>
  <si>
    <t>STATUS</t>
  </si>
  <si>
    <t>CATEGORIA_LANCAMENTO</t>
  </si>
  <si>
    <t>DIA_FECH</t>
  </si>
  <si>
    <t>DIA_VENC</t>
  </si>
  <si>
    <t>DECISAO</t>
  </si>
  <si>
    <t>DATA_DECISAO</t>
  </si>
  <si>
    <t>N_PARCELAS</t>
  </si>
  <si>
    <t>PARCELA_ATUAL</t>
  </si>
  <si>
    <t>PROJEÇÃO DE LANCAMENTOS FIXOS</t>
  </si>
  <si>
    <t>CLUBE IFOOD</t>
  </si>
  <si>
    <t>PENDENTE</t>
  </si>
  <si>
    <t>SERGIO</t>
  </si>
  <si>
    <t>VICTOR</t>
  </si>
  <si>
    <t>LANÇAMENTOS FIXOS</t>
  </si>
  <si>
    <t>LANÇAMENTOS EVENTUAIS</t>
  </si>
  <si>
    <t>BENEFICIOS TRABALHISTAS</t>
  </si>
  <si>
    <t>DAS MEI</t>
  </si>
  <si>
    <t>POWER BI</t>
  </si>
  <si>
    <t>FERRAMENTAS</t>
  </si>
  <si>
    <t>SAIDA</t>
  </si>
  <si>
    <t>ENTRADA</t>
  </si>
  <si>
    <t>SHOPEE</t>
  </si>
  <si>
    <t>AMAZON</t>
  </si>
  <si>
    <t>MERCADO LIVRE</t>
  </si>
  <si>
    <t>PETISCOS</t>
  </si>
  <si>
    <t>EMITIDO</t>
  </si>
  <si>
    <t>STATUS_GENERICO</t>
  </si>
  <si>
    <t>TIPO_LANCAMENTO</t>
  </si>
  <si>
    <t>TIPO</t>
  </si>
  <si>
    <t>ATRASADO</t>
  </si>
  <si>
    <t>BASE DE SERVIÇOS POR CATEGORIA</t>
  </si>
  <si>
    <t>BASE DO SISTEMA  [!]ÁREA CRÍTICA (CUIDADO)</t>
  </si>
  <si>
    <t>PLAY STORE</t>
  </si>
  <si>
    <t>GASTOS VARIADOS</t>
  </si>
  <si>
    <t>NANDINHO</t>
  </si>
  <si>
    <t>NINE</t>
  </si>
  <si>
    <t>DISCORD NITRO</t>
  </si>
  <si>
    <t>RECARGA BILHETE UNICO</t>
  </si>
  <si>
    <t>CARTAO</t>
  </si>
  <si>
    <t>ID_PARCELAMENTO</t>
  </si>
  <si>
    <t>CARTOES DE CREDITO</t>
  </si>
  <si>
    <t>CARTAO_CREDITO</t>
  </si>
  <si>
    <t>STATUS_PAGAMENTO</t>
  </si>
  <si>
    <t>NOME</t>
  </si>
  <si>
    <t>Nubank Victor</t>
  </si>
  <si>
    <t>FREQUENCIA</t>
  </si>
  <si>
    <t>SEMANAL</t>
  </si>
  <si>
    <t>QUINZENAL</t>
  </si>
  <si>
    <t>MENSAL</t>
  </si>
  <si>
    <t>BIMESTRAL</t>
  </si>
  <si>
    <t>TRIMESTRAL</t>
  </si>
  <si>
    <t>SEMESTRAL</t>
  </si>
  <si>
    <t>ANUAL</t>
  </si>
  <si>
    <t>CHAVE</t>
  </si>
  <si>
    <t>DATA_PROJETADA</t>
  </si>
  <si>
    <t>KDPLAY</t>
  </si>
  <si>
    <t>REMEDIO</t>
  </si>
  <si>
    <t>UPGRADE NOTEBOOK</t>
  </si>
  <si>
    <t>BOTOES</t>
  </si>
  <si>
    <t>REEMBOLSO</t>
  </si>
  <si>
    <t>LICENCA DIGITAL</t>
  </si>
  <si>
    <t>RESPONSAVEL 1</t>
  </si>
  <si>
    <t>RESPONSAVEL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</si>
</sst>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9693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2D343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ECF2"/>
        <bgColor indexed="64"/>
      </patternFill>
    </fill>
    <fill>
      <patternFill patternType="solid">
        <fgColor rgb="FFE0F7FA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FFF3E0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FEBE9"/>
        <bgColor indexed="64"/>
      </patternFill>
    </fill>
    <fill>
      <patternFill patternType="solid">
        <fgColor rgb="FFFFEBEE"/>
        <bgColor indexed="64"/>
      </patternFill>
    </fill>
    <fill>
      <patternFill patternType="solid">
        <fgColor rgb="FFF4EAFF"/>
        <bgColor indexed="64"/>
      </patternFill>
    </fill>
    <fill>
      <patternFill patternType="solid">
        <fgColor rgb="FFFFE5D9"/>
        <bgColor indexed="64"/>
      </patternFill>
    </fill>
    <fill>
      <patternFill patternType="solid">
        <fgColor rgb="FFD8F3DC"/>
        <bgColor indexed="64"/>
      </patternFill>
    </fill>
    <fill>
      <patternFill patternType="solid">
        <fgColor rgb="FFF7C4BF"/>
        <bgColor indexed="64"/>
      </patternFill>
    </fill>
  </fills>
  <borders count="6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164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3" xfId="0" applyBorder="1"/>
    <xf numFmtId="0" fontId="4" fillId="0" borderId="0" xfId="0" applyFont="1"/>
    <xf numFmtId="1" fontId="0" fillId="0" borderId="3" xfId="0" applyNumberForma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0" xfId="0" applyAlignment="1">
      <alignment horizontal="left"/>
    </xf>
    <xf numFmtId="1" fontId="4" fillId="0" borderId="0" xfId="0" applyNumberFormat="1" applyFont="1" applyAlignment="1">
      <alignment horizontal="center"/>
    </xf>
    <xf numFmtId="0" fontId="3" fillId="8" borderId="0" xfId="0" applyFont="1" applyFill="1" applyAlignment="1" applyProtection="1">
      <alignment vertical="center"/>
      <protection locked="0"/>
    </xf>
    <xf numFmtId="0" fontId="3" fillId="8" borderId="0" xfId="0" applyFont="1" applyFill="1" applyAlignment="1">
      <alignment vertical="center"/>
    </xf>
    <xf numFmtId="164" fontId="5" fillId="0" borderId="0" xfId="0" applyNumberFormat="1" applyFont="1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" fontId="4" fillId="0" borderId="3" xfId="0" applyNumberFormat="1" applyFont="1" applyBorder="1" applyAlignment="1">
      <alignment horizontal="center" vertical="center"/>
    </xf>
    <xf numFmtId="14" fontId="0" fillId="0" borderId="3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fill"/>
    </xf>
    <xf numFmtId="0" fontId="0" fillId="0" borderId="3" xfId="0" applyBorder="1" applyAlignment="1">
      <alignment horizontal="center" vertical="center"/>
    </xf>
    <xf numFmtId="0" fontId="3" fillId="2" borderId="0" xfId="0" applyFont="1" applyFill="1"/>
    <xf numFmtId="0" fontId="0" fillId="2" borderId="0" xfId="0" applyFill="1"/>
    <xf numFmtId="0" fontId="6" fillId="11" borderId="0" xfId="0" applyFont="1" applyFill="1"/>
    <xf numFmtId="0" fontId="6" fillId="11" borderId="4" xfId="0" applyFont="1" applyFill="1" applyBorder="1"/>
    <xf numFmtId="0" fontId="6" fillId="11" borderId="2" xfId="0" applyFont="1" applyFill="1" applyBorder="1"/>
    <xf numFmtId="0" fontId="6" fillId="11" borderId="0" xfId="0" applyFont="1" applyFill="1" applyAlignment="1">
      <alignment horizontal="left" vertical="top"/>
    </xf>
    <xf numFmtId="1" fontId="4" fillId="5" borderId="0" xfId="0" applyNumberFormat="1" applyFont="1" applyFill="1" applyAlignment="1">
      <alignment horizontal="left"/>
    </xf>
    <xf numFmtId="0" fontId="3" fillId="12" borderId="0" xfId="0" applyFont="1" applyFill="1"/>
    <xf numFmtId="0" fontId="6" fillId="12" borderId="0" xfId="0" applyFont="1" applyFill="1"/>
    <xf numFmtId="0" fontId="6" fillId="3" borderId="0" xfId="0" applyFont="1" applyFill="1"/>
    <xf numFmtId="0" fontId="6" fillId="4" borderId="0" xfId="0" applyFont="1" applyFill="1"/>
    <xf numFmtId="0" fontId="3" fillId="6" borderId="0" xfId="0" applyFont="1" applyFill="1" applyAlignment="1">
      <alignment horizontal="left" vertical="center" wrapText="1"/>
    </xf>
    <xf numFmtId="0" fontId="6" fillId="6" borderId="0" xfId="0" applyFont="1" applyFill="1"/>
    <xf numFmtId="0" fontId="6" fillId="9" borderId="0" xfId="0" applyFont="1" applyFill="1"/>
    <xf numFmtId="0" fontId="6" fillId="10" borderId="0" xfId="0" applyFont="1" applyFill="1"/>
    <xf numFmtId="0" fontId="4" fillId="0" borderId="0" xfId="0" applyFont="1" applyAlignment="1">
      <alignment horizont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164" fontId="0" fillId="0" borderId="3" xfId="0" applyNumberFormat="1" applyBorder="1" applyAlignment="1" applyProtection="1">
      <alignment horizontal="right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fill" vertical="center"/>
    </xf>
    <xf numFmtId="14" fontId="0" fillId="0" borderId="3" xfId="0" applyNumberFormat="1" applyBorder="1" applyAlignment="1">
      <alignment horizontal="center" vertical="center"/>
    </xf>
    <xf numFmtId="14" fontId="1" fillId="0" borderId="3" xfId="0" applyNumberFormat="1" applyFont="1" applyBorder="1" applyAlignment="1" applyProtection="1">
      <alignment horizontal="left" vertical="center"/>
      <protection locked="0"/>
    </xf>
    <xf numFmtId="0" fontId="3" fillId="6" borderId="0" xfId="0" applyFont="1" applyFill="1" applyAlignment="1">
      <alignment horizontal="left" vertical="center"/>
    </xf>
    <xf numFmtId="0" fontId="4" fillId="6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4" fontId="4" fillId="6" borderId="0" xfId="0" applyNumberFormat="1" applyFont="1" applyFill="1" applyAlignment="1">
      <alignment horizontal="center" vertical="center"/>
    </xf>
    <xf numFmtId="14" fontId="6" fillId="6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1" fontId="7" fillId="5" borderId="0" xfId="0" applyNumberFormat="1" applyFont="1" applyFill="1" applyAlignment="1">
      <alignment vertical="top"/>
    </xf>
    <xf numFmtId="1" fontId="4" fillId="0" borderId="3" xfId="0" applyNumberFormat="1" applyFont="1" applyBorder="1" applyAlignment="1" applyProtection="1">
      <alignment vertical="center"/>
      <protection locked="0"/>
    </xf>
    <xf numFmtId="1" fontId="4" fillId="0" borderId="0" xfId="0" applyNumberFormat="1" applyFont="1" applyProtection="1">
      <protection locked="0"/>
    </xf>
    <xf numFmtId="0" fontId="4" fillId="5" borderId="0" xfId="0" applyFont="1" applyFill="1" applyAlignment="1">
      <alignment vertical="center"/>
    </xf>
    <xf numFmtId="0" fontId="4" fillId="0" borderId="0" xfId="0" applyFont="1" applyAlignment="1" applyProtection="1">
      <alignment vertical="center"/>
      <protection locked="0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0" fillId="0" borderId="0" xfId="0" applyFill="1"/>
    <xf numFmtId="1" fontId="0" fillId="0" borderId="3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45">
    <dxf>
      <font>
        <b/>
        <i val="0"/>
        <strike val="0"/>
        <color theme="1"/>
      </font>
      <fill>
        <patternFill>
          <bgColor rgb="FF72B198"/>
        </patternFill>
      </fill>
    </dxf>
    <dxf>
      <font>
        <b/>
        <i val="0"/>
        <strike val="0"/>
        <color theme="1"/>
      </font>
      <fill>
        <patternFill>
          <bgColor rgb="FFE88890"/>
        </patternFill>
      </fill>
    </dxf>
    <dxf>
      <font>
        <strike val="0"/>
      </font>
      <fill>
        <patternFill patternType="darkDown">
          <fgColor rgb="FF595959"/>
          <bgColor rgb="FF000000"/>
        </patternFill>
      </fill>
    </dxf>
    <dxf>
      <fill>
        <patternFill>
          <bgColor rgb="FFF7C4BF"/>
        </patternFill>
      </fill>
    </dxf>
    <dxf>
      <fill>
        <patternFill>
          <bgColor rgb="FFF4EAFF"/>
        </patternFill>
      </fill>
    </dxf>
    <dxf>
      <fill>
        <patternFill>
          <bgColor rgb="FFFFEBEE"/>
        </patternFill>
      </fill>
    </dxf>
    <dxf>
      <fill>
        <patternFill>
          <bgColor rgb="FFD8F3DC"/>
        </patternFill>
      </fill>
    </dxf>
    <dxf>
      <fill>
        <patternFill>
          <bgColor rgb="FFEFEBE9"/>
        </patternFill>
      </fill>
    </dxf>
    <dxf>
      <fill>
        <patternFill>
          <bgColor rgb="FFFAFAFA"/>
        </patternFill>
      </fill>
    </dxf>
    <dxf>
      <fill>
        <patternFill>
          <bgColor rgb="FFE3F2FD"/>
        </patternFill>
      </fill>
    </dxf>
    <dxf>
      <fill>
        <patternFill>
          <bgColor rgb="FFFFF3E0"/>
        </patternFill>
      </fill>
    </dxf>
    <dxf>
      <fill>
        <patternFill>
          <bgColor rgb="FFE8F5E9"/>
        </patternFill>
      </fill>
    </dxf>
    <dxf>
      <fill>
        <patternFill>
          <bgColor rgb="FFE0F7FA"/>
        </patternFill>
      </fill>
    </dxf>
    <dxf>
      <fill>
        <patternFill>
          <bgColor rgb="FFFFECF2"/>
        </patternFill>
      </fill>
    </dxf>
    <dxf>
      <fill>
        <patternFill>
          <bgColor rgb="FFFFE5D9"/>
        </patternFill>
      </fill>
    </dxf>
    <dxf>
      <fill>
        <patternFill>
          <bgColor rgb="FFFFFDE7"/>
        </patternFill>
      </fill>
    </dxf>
    <dxf>
      <fill>
        <patternFill>
          <bgColor rgb="FFF7C4BF"/>
        </patternFill>
      </fill>
    </dxf>
    <dxf>
      <fill>
        <patternFill>
          <bgColor rgb="FFF4EAFF"/>
        </patternFill>
      </fill>
    </dxf>
    <dxf>
      <fill>
        <patternFill>
          <bgColor rgb="FFFFEBEE"/>
        </patternFill>
      </fill>
    </dxf>
    <dxf>
      <fill>
        <patternFill>
          <bgColor rgb="FFD8F3DC"/>
        </patternFill>
      </fill>
    </dxf>
    <dxf>
      <fill>
        <patternFill>
          <bgColor rgb="FFEFEBE9"/>
        </patternFill>
      </fill>
    </dxf>
    <dxf>
      <fill>
        <patternFill>
          <bgColor rgb="FFFAFAFA"/>
        </patternFill>
      </fill>
    </dxf>
    <dxf>
      <fill>
        <patternFill>
          <bgColor rgb="FFE3F2FD"/>
        </patternFill>
      </fill>
    </dxf>
    <dxf>
      <fill>
        <patternFill>
          <bgColor rgb="FFFFF3E0"/>
        </patternFill>
      </fill>
    </dxf>
    <dxf>
      <fill>
        <patternFill>
          <bgColor rgb="FFE8F5E9"/>
        </patternFill>
      </fill>
    </dxf>
    <dxf>
      <fill>
        <patternFill>
          <bgColor rgb="FFE0F7FA"/>
        </patternFill>
      </fill>
    </dxf>
    <dxf>
      <fill>
        <patternFill>
          <bgColor rgb="FFFFECF2"/>
        </patternFill>
      </fill>
    </dxf>
    <dxf>
      <fill>
        <patternFill>
          <bgColor rgb="FFFFE5D9"/>
        </patternFill>
      </fill>
    </dxf>
    <dxf>
      <fill>
        <patternFill>
          <bgColor rgb="FFFFFDE7"/>
        </patternFill>
      </fill>
    </dxf>
    <dxf>
      <font>
        <b/>
        <i val="0"/>
        <strike val="0"/>
        <color theme="1"/>
      </font>
      <fill>
        <patternFill>
          <fgColor rgb="FFFFD8A8"/>
          <bgColor rgb="FFFFD8A8"/>
        </patternFill>
      </fill>
    </dxf>
    <dxf>
      <font>
        <b/>
        <i val="0"/>
        <strike val="0"/>
        <color theme="1"/>
      </font>
      <fill>
        <patternFill>
          <bgColor rgb="FFE88890"/>
        </patternFill>
      </fill>
    </dxf>
    <dxf>
      <font>
        <b/>
        <i val="0"/>
        <strike val="0"/>
        <color theme="1"/>
      </font>
      <fill>
        <patternFill>
          <bgColor rgb="FF72B198"/>
        </patternFill>
      </fill>
    </dxf>
    <dxf>
      <font>
        <b/>
        <i val="0"/>
        <strike val="0"/>
        <color theme="1"/>
      </font>
      <fill>
        <patternFill>
          <bgColor rgb="FF72B198"/>
        </patternFill>
      </fill>
    </dxf>
    <dxf>
      <font>
        <b/>
        <i val="0"/>
        <strike val="0"/>
        <color theme="1"/>
      </font>
      <fill>
        <patternFill>
          <bgColor rgb="FFAE9CC4"/>
        </patternFill>
      </fill>
    </dxf>
    <dxf>
      <font>
        <b/>
        <i val="0"/>
        <strike val="0"/>
      </font>
      <fill>
        <patternFill>
          <fgColor rgb="FFADD8E6"/>
          <bgColor rgb="FFE88890"/>
        </patternFill>
      </fill>
    </dxf>
    <dxf>
      <font>
        <b/>
        <i val="0"/>
        <strike val="0"/>
      </font>
      <fill>
        <patternFill>
          <fgColor rgb="FFADD8E6"/>
          <bgColor rgb="FFADD8E6"/>
        </patternFill>
      </fill>
    </dxf>
    <dxf>
      <font>
        <b/>
        <i val="0"/>
        <strike val="0"/>
        <color theme="1"/>
      </font>
      <fill>
        <patternFill>
          <fgColor theme="0"/>
          <bgColor rgb="FFF4E29B"/>
        </patternFill>
      </fill>
    </dxf>
    <dxf>
      <font>
        <strike val="0"/>
      </font>
      <fill>
        <patternFill patternType="darkDown">
          <fgColor theme="1" tint="0.34998626667073579"/>
          <bgColor rgb="FF333333"/>
        </patternFill>
      </fill>
    </dxf>
    <dxf>
      <font>
        <b/>
        <strike val="0"/>
        <color theme="0"/>
      </font>
      <fill>
        <patternFill>
          <bgColor rgb="FF72B198"/>
        </patternFill>
      </fill>
    </dxf>
    <dxf>
      <font>
        <b/>
        <strike val="0"/>
        <color theme="0"/>
      </font>
      <fill>
        <patternFill>
          <bgColor rgb="FFE88890"/>
        </patternFill>
      </fill>
    </dxf>
    <dxf>
      <fill>
        <patternFill>
          <bgColor rgb="FFF7C4BF"/>
        </patternFill>
      </fill>
    </dxf>
    <dxf>
      <fill>
        <patternFill>
          <bgColor rgb="FFF4EAFF"/>
        </patternFill>
      </fill>
    </dxf>
    <dxf>
      <fill>
        <patternFill>
          <bgColor rgb="FFFFEBEE"/>
        </patternFill>
      </fill>
    </dxf>
    <dxf>
      <fill>
        <patternFill>
          <bgColor rgb="FFD8F3DC"/>
        </patternFill>
      </fill>
    </dxf>
    <dxf>
      <fill>
        <patternFill>
          <bgColor rgb="FFEFEBE9"/>
        </patternFill>
      </fill>
    </dxf>
    <dxf>
      <fill>
        <patternFill>
          <bgColor rgb="FFFAFAFA"/>
        </patternFill>
      </fill>
    </dxf>
    <dxf>
      <fill>
        <patternFill>
          <bgColor rgb="FFE3F2FD"/>
        </patternFill>
      </fill>
    </dxf>
    <dxf>
      <fill>
        <patternFill>
          <bgColor rgb="FFFFF3E0"/>
        </patternFill>
      </fill>
    </dxf>
    <dxf>
      <fill>
        <patternFill>
          <bgColor rgb="FFE8F5E9"/>
        </patternFill>
      </fill>
    </dxf>
    <dxf>
      <fill>
        <patternFill>
          <bgColor rgb="FFE0F7FA"/>
        </patternFill>
      </fill>
    </dxf>
    <dxf>
      <fill>
        <patternFill>
          <bgColor rgb="FFFFECF2"/>
        </patternFill>
      </fill>
    </dxf>
    <dxf>
      <fill>
        <patternFill>
          <bgColor rgb="FFFFE5D9"/>
        </patternFill>
      </fill>
    </dxf>
    <dxf>
      <fill>
        <patternFill>
          <bgColor rgb="FFFFFDE7"/>
        </patternFill>
      </fill>
    </dxf>
    <dxf>
      <fill>
        <patternFill>
          <bgColor rgb="FFF7C4BF"/>
        </patternFill>
      </fill>
    </dxf>
    <dxf>
      <fill>
        <patternFill>
          <bgColor rgb="FFF4EAFF"/>
        </patternFill>
      </fill>
    </dxf>
    <dxf>
      <fill>
        <patternFill>
          <bgColor rgb="FFFFEBEE"/>
        </patternFill>
      </fill>
    </dxf>
    <dxf>
      <fill>
        <patternFill>
          <bgColor rgb="FFD8F3DC"/>
        </patternFill>
      </fill>
    </dxf>
    <dxf>
      <fill>
        <patternFill>
          <bgColor rgb="FFEFEBE9"/>
        </patternFill>
      </fill>
    </dxf>
    <dxf>
      <fill>
        <patternFill>
          <bgColor rgb="FFFAFAFA"/>
        </patternFill>
      </fill>
    </dxf>
    <dxf>
      <fill>
        <patternFill>
          <bgColor rgb="FFE3F2FD"/>
        </patternFill>
      </fill>
    </dxf>
    <dxf>
      <fill>
        <patternFill>
          <bgColor rgb="FFFFF3E0"/>
        </patternFill>
      </fill>
    </dxf>
    <dxf>
      <fill>
        <patternFill>
          <bgColor rgb="FFE8F5E9"/>
        </patternFill>
      </fill>
    </dxf>
    <dxf>
      <fill>
        <patternFill>
          <bgColor rgb="FFE0F7FA"/>
        </patternFill>
      </fill>
    </dxf>
    <dxf>
      <fill>
        <patternFill>
          <bgColor rgb="FFFFECF2"/>
        </patternFill>
      </fill>
    </dxf>
    <dxf>
      <fill>
        <patternFill>
          <bgColor rgb="FFFFE5D9"/>
        </patternFill>
      </fill>
    </dxf>
    <dxf>
      <fill>
        <patternFill>
          <bgColor rgb="FFFFFDE7"/>
        </patternFill>
      </fill>
    </dxf>
    <dxf>
      <font>
        <b/>
        <i val="0"/>
        <strike val="0"/>
        <color theme="1"/>
      </font>
      <fill>
        <patternFill>
          <fgColor rgb="FFFFD8A8"/>
          <bgColor rgb="FFFFD8A8"/>
        </patternFill>
      </fill>
    </dxf>
    <dxf>
      <font>
        <b/>
        <i val="0"/>
        <strike val="0"/>
        <color theme="1"/>
      </font>
      <fill>
        <patternFill>
          <bgColor rgb="FFE88890"/>
        </patternFill>
      </fill>
    </dxf>
    <dxf>
      <font>
        <b/>
        <i val="0"/>
        <strike val="0"/>
        <color theme="1"/>
      </font>
      <fill>
        <patternFill>
          <bgColor rgb="FF72B198"/>
        </patternFill>
      </fill>
    </dxf>
    <dxf>
      <font>
        <b/>
        <i val="0"/>
        <strike val="0"/>
        <color theme="1"/>
      </font>
      <fill>
        <patternFill>
          <fgColor rgb="FFADD8E6"/>
          <bgColor rgb="FFE88890"/>
        </patternFill>
      </fill>
    </dxf>
    <dxf>
      <font>
        <b/>
        <i val="0"/>
        <strike val="0"/>
        <color theme="1"/>
      </font>
      <fill>
        <patternFill>
          <fgColor rgb="FFADD8E6"/>
          <bgColor rgb="FFADD8E6"/>
        </patternFill>
      </fill>
    </dxf>
    <dxf>
      <font>
        <b/>
        <i val="0"/>
        <strike val="0"/>
        <color theme="1"/>
      </font>
      <fill>
        <patternFill>
          <bgColor rgb="FFF4E29B"/>
        </patternFill>
      </fill>
    </dxf>
    <dxf>
      <font>
        <b/>
        <i val="0"/>
        <strike val="0"/>
        <color theme="1"/>
      </font>
      <fill>
        <patternFill>
          <bgColor rgb="FF72B198"/>
        </patternFill>
      </fill>
    </dxf>
    <dxf>
      <font>
        <b/>
        <i val="0"/>
        <strike val="0"/>
        <color theme="1"/>
      </font>
      <fill>
        <patternFill>
          <bgColor rgb="FFAE9CC4"/>
        </patternFill>
      </fill>
    </dxf>
    <dxf>
      <font>
        <strike val="0"/>
      </font>
      <fill>
        <patternFill patternType="darkDown">
          <fgColor theme="1" tint="0.34998626667073579"/>
          <bgColor theme="1"/>
        </patternFill>
      </fill>
    </dxf>
    <dxf>
      <font>
        <strike val="0"/>
      </font>
      <fill>
        <patternFill patternType="darkDown">
          <fgColor theme="1" tint="0.34998626667073579"/>
          <bgColor theme="1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strike val="0"/>
        <outline val="0"/>
        <shadow val="0"/>
        <u val="none"/>
        <vertAlign val="baseline"/>
        <sz val="11"/>
        <name val="Calibri"/>
        <family val="2"/>
      </font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  <numFmt numFmtId="164" formatCode="&quot;R$&quot;\ #,##0.00"/>
      <alignment horizontal="right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  <alignment horizontal="left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  <alignment horizontal="left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  <alignment horizontal="left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</font>
      <alignment horizontal="left" vertical="center"/>
    </dxf>
    <dxf>
      <font>
        <strike val="0"/>
        <outline val="0"/>
        <shadow val="0"/>
        <u val="none"/>
        <vertAlign val="baseline"/>
        <sz val="11"/>
        <name val="Calibri"/>
        <family val="2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fil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right" vertical="center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7C4BF"/>
      <color rgb="FFF1948A"/>
      <color rgb="FFAE9CC4"/>
      <color rgb="FF8F77AD"/>
      <color rgb="FFD8F3DC"/>
      <color rgb="FFFFE5D9"/>
      <color rgb="FFECEFF1"/>
      <color rgb="FFF4EAFF"/>
      <color rgb="FFFFEBEE"/>
      <color rgb="FFF1F8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285750</xdr:colOff>
      <xdr:row>1</xdr:row>
      <xdr:rowOff>82550</xdr:rowOff>
    </xdr:from>
    <xdr:to>
      <xdr:col>9</xdr:col>
      <xdr:colOff>330200</xdr:colOff>
      <xdr:row>3</xdr:row>
      <xdr:rowOff>0</xdr:rowOff>
    </xdr:to>
    <xdr:sp macro="[0]!Trigger_Executar_Fila_Glob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B5BAE93-023D-A9FC-9CC8-319F7FC12DBB}"/>
            </a:ext>
          </a:extLst>
        </xdr:cNvPr>
        <xdr:cNvSpPr/>
      </xdr:nvSpPr>
      <xdr:spPr>
        <a:xfrm>
          <a:off x="6273800" y="298450"/>
          <a:ext cx="1828800" cy="558800"/>
        </a:xfrm>
        <a:prstGeom prst="roundRect">
          <a:avLst/>
        </a:prstGeom>
        <a:effectLst>
          <a:outerShdw blurRad="40000" dist="25400" dir="6120000" rotWithShape="0">
            <a:srgbClr val="000000">
              <a:alpha val="38000"/>
            </a:srgb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Atualizar Sistema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refreshOnLoad="1" connectionId="1" xr16:uid="{C82C6971-B924-4BD2-BEE8-47D86070CCFE}" autoFormatId="16" applyNumberFormats="0" applyBorderFormats="0" applyFontFormats="0" applyPatternFormats="0" applyAlignmentFormats="0" applyWidthHeightFormats="0">
  <queryTableRefresh nextId="207">
    <queryTableFields count="21">
      <queryTableField id="3" name="ALIMENTACAO" tableColumnId="3"/>
      <queryTableField id="99" name="ASSINATURA" tableColumnId="4"/>
      <queryTableField id="122" name="BELEZA_PESSOAL" tableColumnId="28"/>
      <queryTableField id="7" name="EDUCACAO" tableColumnId="7"/>
      <queryTableField id="8" name="FINANCEIRO" tableColumnId="8"/>
      <queryTableField id="10" name="LAZER" tableColumnId="10"/>
      <queryTableField id="11" name="MORADIA" tableColumnId="11"/>
      <queryTableField id="18" name="OUTROS" tableColumnId="18"/>
      <queryTableField id="12" name="PETS" tableColumnId="12"/>
      <queryTableField id="13" name="RECEITA" tableColumnId="13"/>
      <queryTableField id="14" name="SAUDE" tableColumnId="14"/>
      <queryTableField id="15" name="SHOPPING" tableColumnId="15"/>
      <queryTableField id="16" name="TRANSPORTE" tableColumnId="16"/>
      <queryTableField id="132" name="CATEGORIA_LANCAMENTO" tableColumnId="38"/>
      <queryTableField id="196" name="FREQUENCIA" tableColumnId="9"/>
      <queryTableField id="125" name="METODO_PAGAMENTO" tableColumnId="31"/>
      <queryTableField id="1" name="RESPONSAVEL" tableColumnId="1"/>
      <queryTableField id="162" name="STATUS_GENERICO" tableColumnId="2"/>
      <queryTableField id="194" name="STATUS_PAGAMENTO" tableColumnId="21"/>
      <queryTableField id="186" name="TIPO_LANCAMENTO" tableColumnId="6"/>
      <queryTableField id="192" name="CARTAO_CREDITO" tableColumnId="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Lancamentos_Eventuais" displayName="tbl_Lancamentos_Eventuais" ref="A2:M3" insertRow="1" headerRowDxfId="136" dataDxfId="135" totalsRowDxfId="133" tableBorderDxfId="134" totalsRowBorderDxfId="132">
  <autoFilter ref="A2:M3" xr:uid="{00000000-000C-0000-FFFF-FFFF02000000}"/>
  <sortState xmlns:xlrd2="http://schemas.microsoft.com/office/spreadsheetml/2017/richdata2" ref="A3:M3">
    <sortCondition ref="L3"/>
    <sortCondition ref="B3"/>
  </sortState>
  <tableColumns count="13">
    <tableColumn id="2" xr3:uid="{00000000-0010-0000-0200-000002000000}" name="RESPONSAVEL" totalsRowLabel="Total" dataDxfId="131"/>
    <tableColumn id="3" xr3:uid="{00000000-0010-0000-0200-000003000000}" name="CATEGORIA" dataDxfId="130"/>
    <tableColumn id="4" xr3:uid="{00000000-0010-0000-0200-000004000000}" name="SERVICO" dataDxfId="129"/>
    <tableColumn id="5" xr3:uid="{00000000-0010-0000-0200-000005000000}" name="DESCRICAO" dataDxfId="128"/>
    <tableColumn id="7" xr3:uid="{00000000-0010-0000-0200-000007000000}" name="VALOR" dataDxfId="127"/>
    <tableColumn id="8" xr3:uid="{00000000-0010-0000-0200-000008000000}" name="TIPO" dataDxfId="126"/>
    <tableColumn id="13" xr3:uid="{A44250D4-4D3A-43C8-B594-970CBD9701F8}" name="METODO_PAGAMENTO" dataDxfId="125"/>
    <tableColumn id="1" xr3:uid="{2FBFA487-1F3F-49B6-AC11-368AB29CB950}" name="CARTAO" dataDxfId="124"/>
    <tableColumn id="10" xr3:uid="{0E66D1A6-AA67-464B-91A2-AAA1E96E30A1}" name="N_PARCELAS" dataDxfId="123"/>
    <tableColumn id="12" xr3:uid="{D45F60BA-8DAB-483E-A42A-EDB3245FD882}" name="PARCELA_ATUAL" dataDxfId="122"/>
    <tableColumn id="14" xr3:uid="{8BA8F6AE-5860-4DAE-8BF4-81EEA3E5629E}" name="ID_PARCELAMENTO" dataDxfId="121"/>
    <tableColumn id="9" xr3:uid="{00000000-0010-0000-0200-000009000000}" name="DATA_EFETIVA" dataDxfId="120"/>
    <tableColumn id="11" xr3:uid="{00000000-0010-0000-0200-00000B000000}" name="STATUS" totalsRowFunction="count" dataDxfId="11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2E08FE1-CA3E-4753-8D37-308C8136FFE5}" name="tbl_Lancamentos_Fixos" displayName="tbl_Lancamentos_Fixos" ref="A2:K3" insertRow="1" totalsRowShown="0" headerRowDxfId="118" dataDxfId="117" tableBorderDxfId="116" totalsRowBorderDxfId="115">
  <autoFilter ref="A2:K3" xr:uid="{00000000-0009-0000-0100-000003000000}"/>
  <sortState xmlns:xlrd2="http://schemas.microsoft.com/office/spreadsheetml/2017/richdata2" ref="A3:K3">
    <sortCondition ref="J3"/>
    <sortCondition ref="B3"/>
  </sortState>
  <tableColumns count="11">
    <tableColumn id="2" xr3:uid="{09FE26D1-0F8A-4B73-A970-85B1923DF036}" name="RESPONSAVEL" dataDxfId="86"/>
    <tableColumn id="3" xr3:uid="{C9BBDAC1-C84E-4719-876A-AA679F546C27}" name="CATEGORIA" dataDxfId="85"/>
    <tableColumn id="4" xr3:uid="{F156A290-D141-4368-A416-57B4ED607E82}" name="SERVICO" dataDxfId="84"/>
    <tableColumn id="5" xr3:uid="{4126CA07-7FA3-4D84-9785-49A930D422CF}" name="DESCRICAO" dataDxfId="83"/>
    <tableColumn id="7" xr3:uid="{F9B53688-5409-44D7-A5A6-EB4E329249ED}" name="VALOR" dataDxfId="82"/>
    <tableColumn id="8" xr3:uid="{54161B9E-A78B-49C3-BC9A-D5B372BA4481}" name="TIPO" dataDxfId="81"/>
    <tableColumn id="12" xr3:uid="{E2CD9CF3-26C4-4988-A789-E9F2F382EFAA}" name="METODO_PAGAMENTO" dataDxfId="80"/>
    <tableColumn id="1" xr3:uid="{795DF651-CAA7-4E2F-97CC-278D0110855E}" name="CARTAO" dataDxfId="79"/>
    <tableColumn id="13" xr3:uid="{A0B4AE10-E2F8-4543-8394-91374DDAF76D}" name="FREQUENCIA" dataDxfId="78"/>
    <tableColumn id="9" xr3:uid="{E9AC6BA4-410B-428D-85E9-F180B97CB257}" name="DATA_EFETIVA" dataDxfId="77"/>
    <tableColumn id="11" xr3:uid="{0D7ECF74-1C25-4080-B5B9-02C4397DEE1C}" name="STATUS" dataDxfId="7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6CCB541-54EE-4EE9-A9DD-6C8A04F3824C}" name="PQ_Base_Opcoes_Formatada" displayName="PQ_Base_Opcoes_Formatada" ref="A1:U36" tableType="queryTable" totalsRowShown="0">
  <autoFilter ref="A1:U36" xr:uid="{66CCB541-54EE-4EE9-A9DD-6C8A04F3824C}"/>
  <tableColumns count="21">
    <tableColumn id="3" xr3:uid="{BDA92882-4FA6-400E-A52E-6A49F36453F6}" uniqueName="3" name="ALIMENTACAO" queryTableFieldId="3" dataDxfId="114"/>
    <tableColumn id="4" xr3:uid="{CB661E61-4A0B-4D53-BFBC-FF571CB45B0A}" uniqueName="4" name="ASSINATURA" queryTableFieldId="99" dataDxfId="113"/>
    <tableColumn id="28" xr3:uid="{0BEF1311-ADF4-4125-9E3C-2AD3D3D8D975}" uniqueName="28" name="BELEZA_PESSOAL" queryTableFieldId="122" dataDxfId="112"/>
    <tableColumn id="7" xr3:uid="{E1F7EE71-1EEB-46A0-95DD-CA4DECD3ABEE}" uniqueName="7" name="EDUCACAO" queryTableFieldId="7" dataDxfId="111"/>
    <tableColumn id="8" xr3:uid="{33AC1050-EAB8-47F2-9DF7-8042B69D2650}" uniqueName="8" name="FINANCEIRO" queryTableFieldId="8" dataDxfId="110"/>
    <tableColumn id="10" xr3:uid="{01C78EB5-2332-4B00-8F60-F1284A351EAB}" uniqueName="10" name="LAZER" queryTableFieldId="10" dataDxfId="109"/>
    <tableColumn id="11" xr3:uid="{8F687E61-76B7-4704-AA14-D422C7FE601E}" uniqueName="11" name="MORADIA" queryTableFieldId="11" dataDxfId="108"/>
    <tableColumn id="18" xr3:uid="{9F81BDD8-CE9B-471F-84F0-9911CEB8A064}" uniqueName="18" name="OUTROS" queryTableFieldId="18" dataDxfId="107"/>
    <tableColumn id="12" xr3:uid="{5F5649FE-C619-4A07-B762-02606541509C}" uniqueName="12" name="PETS" queryTableFieldId="12" dataDxfId="106"/>
    <tableColumn id="13" xr3:uid="{8F687BD2-9BC7-4302-B0F1-86FE6EFF77B6}" uniqueName="13" name="RECEITA" queryTableFieldId="13" dataDxfId="105"/>
    <tableColumn id="14" xr3:uid="{98A7BF19-E4B2-486B-8314-E39445D03720}" uniqueName="14" name="SAUDE" queryTableFieldId="14" dataDxfId="104"/>
    <tableColumn id="15" xr3:uid="{9F9E5DFE-7572-43DD-AEE0-9040AF20E25F}" uniqueName="15" name="SHOPPING" queryTableFieldId="15" dataDxfId="103"/>
    <tableColumn id="16" xr3:uid="{ED46796A-29B2-4C40-A8E8-414AA894484B}" uniqueName="16" name="TRANSPORTE" queryTableFieldId="16" dataDxfId="102"/>
    <tableColumn id="38" xr3:uid="{595B31EF-A958-4757-B7F1-02F9A603A346}" uniqueName="38" name="CATEGORIA_LANCAMENTO" queryTableFieldId="132" dataDxfId="101"/>
    <tableColumn id="9" xr3:uid="{4C7C27A6-3607-488A-9112-2C4EC497A742}" uniqueName="9" name="FREQUENCIA" queryTableFieldId="196" dataDxfId="100"/>
    <tableColumn id="31" xr3:uid="{24E1C8D2-C995-4665-B7CF-7189595A8FEE}" uniqueName="31" name="METODO_PAGAMENTO" queryTableFieldId="125" dataDxfId="99"/>
    <tableColumn id="1" xr3:uid="{B5164734-218B-4ADF-AD29-B06AD45F3293}" uniqueName="1" name="RESPONSAVEL" queryTableFieldId="1" dataDxfId="98"/>
    <tableColumn id="2" xr3:uid="{2D56264B-EDFC-4E8C-ACFC-51983A50862C}" uniqueName="2" name="STATUS_GENERICO" queryTableFieldId="162" dataDxfId="97"/>
    <tableColumn id="21" xr3:uid="{0EEDF337-2243-410E-B4A4-76BE9EA19990}" uniqueName="21" name="STATUS_PAGAMENTO" queryTableFieldId="194" dataDxfId="96"/>
    <tableColumn id="6" xr3:uid="{5016634B-4A55-4699-A449-45E54BA92552}" uniqueName="6" name="TIPO_LANCAMENTO" queryTableFieldId="186" dataDxfId="95"/>
    <tableColumn id="5" xr3:uid="{F97D2C97-111D-494A-986C-EFAADF6AEF77}" uniqueName="5" name="CARTAO_CREDITO" queryTableFieldId="192" dataDxfId="9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ase_User" displayName="tbl_Base_User" ref="A2:M42" totalsRowShown="0">
  <autoFilter ref="A2:M42" xr:uid="{00000000-000C-0000-FFFF-FFFF01000000}"/>
  <sortState xmlns:xlrd2="http://schemas.microsoft.com/office/spreadsheetml/2017/richdata2" ref="A3:M59">
    <sortCondition ref="B2:B59"/>
  </sortState>
  <tableColumns count="13">
    <tableColumn id="45" xr3:uid="{443CF2D9-2574-4FD2-9579-78B1920EB386}" name="ALIMENTACAO"/>
    <tableColumn id="44" xr3:uid="{6ED0D39C-FE3D-4748-A6F7-6DC22DA7FB4C}" name="ASSINATURA"/>
    <tableColumn id="43" xr3:uid="{D54971F3-C4CD-4315-87DC-5F09625C3D78}" name="BELEZA_PESSOAL"/>
    <tableColumn id="41" xr3:uid="{D3C10615-66AE-4960-AA62-08DB8A1BCFE0}" name="EDUCACAO"/>
    <tableColumn id="40" xr3:uid="{A78E49F9-4595-4975-B341-E44074B6CAE8}" name="FINANCEIRO"/>
    <tableColumn id="38" xr3:uid="{D731D03F-BC77-4DCA-9AB7-1E29F2E9D88E}" name="LAZER"/>
    <tableColumn id="37" xr3:uid="{BBD03352-97EE-435E-9C2D-BBBCA39E3308}" name="MORADIA"/>
    <tableColumn id="17" xr3:uid="{0CA4FDD5-58B7-4C5D-8817-0F4BECF10E69}" name="OUTROS"/>
    <tableColumn id="36" xr3:uid="{5188417E-552F-446E-A3BF-9957BDCF5F33}" name="PETS"/>
    <tableColumn id="35" xr3:uid="{94827B8D-24B0-45EF-B182-B972D295F5A5}" name="RECEITA"/>
    <tableColumn id="34" xr3:uid="{89A5CBE2-0AEF-4C0F-80E4-8B722CF5C9F5}" name="SAUDE"/>
    <tableColumn id="33" xr3:uid="{E3B491A2-D0E8-42C4-86E5-94DF9B35A5B7}" name="SHOPPING"/>
    <tableColumn id="32" xr3:uid="{375DE77B-60C1-498C-A189-0EE82242FE3B}" name="TRANSPORTE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D3E6FF0-2AB2-45F1-92AD-DDCEE3DF2E3B}" name="tbl_Base_Cartoes_Credito" displayName="tbl_Base_Cartoes_Credito" ref="P2:S3" insertRow="1" totalsRowShown="0" headerRowDxfId="144" headerRowBorderDxfId="143" tableBorderDxfId="142" totalsRowBorderDxfId="141">
  <autoFilter ref="P2:S3" xr:uid="{0D3E6FF0-2AB2-45F1-92AD-DDCEE3DF2E3B}"/>
  <tableColumns count="4">
    <tableColumn id="7" xr3:uid="{B179E7B4-FFCE-417E-B726-E0B81EFD1F17}" name="NOME" dataDxfId="140"/>
    <tableColumn id="4" xr3:uid="{E649D59E-BA6C-44A7-8FD1-D82C36C44E06}" name="DIA_FECH" dataDxfId="139"/>
    <tableColumn id="5" xr3:uid="{C32B1C2B-C3C7-4623-85CB-9A35BBE9154F}" name="DIA_VENC" dataDxfId="138"/>
    <tableColumn id="6" xr3:uid="{700902C4-4503-4A90-9F0B-534C261B1CCB}" name="STATUS" dataDxfId="137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819125-5D7D-4078-BB52-CFBE525E6575}" name="tbl_Base_Sistema" displayName="tbl_Base_Sistema" ref="V2:AB18" totalsRowShown="0">
  <autoFilter ref="V2:AB18" xr:uid="{3E819125-5D7D-4078-BB52-CFBE525E6575}"/>
  <tableColumns count="7">
    <tableColumn id="8" xr3:uid="{1497C467-7F75-469F-A584-C76C8FD908E8}" name="CATEGORIA_LANCAMENTO"/>
    <tableColumn id="3" xr3:uid="{9A66FCA8-9AEE-4FC8-9C63-361B790E72F7}" name="FREQUENCIA"/>
    <tableColumn id="5" xr3:uid="{FDA6FC31-7239-4335-8283-0619212ADBD1}" name="METODO_PAGAMENTO"/>
    <tableColumn id="1" xr3:uid="{CC0BB266-B3AB-43CE-90C7-53057DED06CC}" name="RESPONSAVEL"/>
    <tableColumn id="2" xr3:uid="{F36A0FD7-0B96-4D9A-8335-F8B833BA9300}" name="STATUS_GENERICO"/>
    <tableColumn id="4" xr3:uid="{36FB2D8F-ABE0-489E-9ECB-6CD525AF4E3E}" name="STATUS_PAGAMENTO"/>
    <tableColumn id="10" xr3:uid="{CAEF488B-B961-417E-8770-F6002AABE61C}" name="TIPO_LANCAMENTO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EC6776-8FA7-4760-8CE7-5E4C0535A749}" name="tbl_Projecao_Lancamentos_Fixos" displayName="tbl_Projecao_Lancamentos_Fixos" ref="A2:E3" insertRow="1" totalsRowShown="0" headerRowDxfId="93" dataDxfId="92">
  <autoFilter ref="A2:E3" xr:uid="{8BEC6776-8FA7-4760-8CE7-5E4C0535A749}"/>
  <tableColumns count="5">
    <tableColumn id="1" xr3:uid="{9B01F54B-951D-4133-8E9B-85D5BE083162}" name="CHAVE" dataDxfId="91"/>
    <tableColumn id="7" xr3:uid="{05407E6C-B98F-4812-BBF1-CD6BB9377F52}" name="FREQUENCIA" dataDxfId="90"/>
    <tableColumn id="6" xr3:uid="{42CBCAB6-3260-49DB-8370-02E8AEEEC5E1}" name="DATA_PROJETADA" dataDxfId="89"/>
    <tableColumn id="2" xr3:uid="{165C1865-E0D7-449C-A446-D9C7BC8B733C}" name="DECISAO" dataDxfId="88"/>
    <tableColumn id="3" xr3:uid="{A843A39D-AB2F-4A67-8786-2E8379DCAE05}" name="DATA_DECISAO" dataDxfId="87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  <wetp:taskpane dockstate="right" visibility="0" width="525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43D6FD31-4FC1-43DB-B50E-AEE2478E90A1}">
  <we:reference id="wa200005502" version="1.0.0.12" store="en-US" storeType="OMEX"/>
  <we:alternateReferences>
    <we:reference id="WA200005502" version="1.0.0.12" store="" storeType="OMEX"/>
  </we:alternateReferences>
  <we:properties>
    <we:property name="docId" value="&quot;n4mZAWa6sa3A_xXTxDsS9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49691AF0-769B-4746-B96F-9D2C3A1EBD77}">
  <we:reference id="wa200009404" version="1.0.0.8" store="pt-PT" storeType="OMEX"/>
  <we:alternateReferences>
    <we:reference id="wa200009404" version="1.0.0.8" store="wa200009404" storeType="OMEX"/>
  </we:alternateReferences>
  <we:properties>
    <we:property name="claude.fileId" value="&quot;46214f7f-0d33-4480-891d-93a24de8b9cf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7030A0"/>
    <pageSetUpPr autoPageBreaks="0"/>
  </sheetPr>
  <dimension ref="A1:N3"/>
  <sheetViews>
    <sheetView showGridLines="0" zoomScale="80" zoomScaleNormal="80" workbookViewId="0">
      <pane ySplit="2" topLeftCell="A3" activePane="bottomLeft" state="frozen"/>
      <selection activeCell="B1" sqref="B1"/>
      <selection pane="bottomLeft" activeCell="F3" sqref="F3"/>
    </sheetView>
  </sheetViews>
  <sheetFormatPr defaultRowHeight="14.5" x14ac:dyDescent="0.35"/>
  <cols>
    <col min="1" max="1" width="17.36328125" style="2" customWidth="1"/>
    <col min="2" max="2" width="24.08984375" style="2" customWidth="1"/>
    <col min="3" max="3" width="25.7265625" style="2" customWidth="1"/>
    <col min="4" max="4" width="32.81640625" style="2" bestFit="1" customWidth="1"/>
    <col min="5" max="5" width="15.26953125" style="1" customWidth="1"/>
    <col min="6" max="6" width="14.7265625" style="2" customWidth="1"/>
    <col min="7" max="7" width="26.26953125" style="2" customWidth="1"/>
    <col min="8" max="8" width="14.36328125" style="64" customWidth="1"/>
    <col min="9" max="9" width="15.36328125" style="16" customWidth="1"/>
    <col min="10" max="10" width="18.26953125" style="8" customWidth="1"/>
    <col min="11" max="11" width="20.54296875" style="4" customWidth="1"/>
    <col min="12" max="12" width="17.36328125" customWidth="1"/>
    <col min="13" max="13" width="14.453125" bestFit="1" customWidth="1"/>
    <col min="14" max="14" width="14.453125" style="2" customWidth="1"/>
  </cols>
  <sheetData>
    <row r="1" spans="1:14" x14ac:dyDescent="0.35">
      <c r="A1" s="66" t="s">
        <v>212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9"/>
    </row>
    <row r="2" spans="1:14" ht="14.5" customHeight="1" x14ac:dyDescent="0.35">
      <c r="A2" s="20" t="s">
        <v>0</v>
      </c>
      <c r="B2" s="20" t="s">
        <v>57</v>
      </c>
      <c r="C2" s="20" t="s">
        <v>58</v>
      </c>
      <c r="D2" s="20" t="s">
        <v>59</v>
      </c>
      <c r="E2" s="20" t="s">
        <v>167</v>
      </c>
      <c r="F2" s="20" t="s">
        <v>226</v>
      </c>
      <c r="G2" s="20" t="s">
        <v>1</v>
      </c>
      <c r="H2" s="63" t="s">
        <v>236</v>
      </c>
      <c r="I2" s="24" t="s">
        <v>204</v>
      </c>
      <c r="J2" s="25" t="s">
        <v>205</v>
      </c>
      <c r="K2" s="26" t="s">
        <v>237</v>
      </c>
      <c r="L2" s="27" t="s">
        <v>174</v>
      </c>
      <c r="M2" s="27" t="s">
        <v>198</v>
      </c>
      <c r="N2"/>
    </row>
    <row r="3" spans="1:14" x14ac:dyDescent="0.35">
      <c r="A3" s="34"/>
      <c r="B3" s="35"/>
      <c r="C3" s="35"/>
      <c r="D3" s="35"/>
      <c r="E3" s="36"/>
      <c r="F3" s="37"/>
      <c r="G3" s="35"/>
      <c r="H3" s="61"/>
      <c r="I3" s="14"/>
      <c r="J3" s="38"/>
      <c r="K3" s="39"/>
      <c r="L3" s="15"/>
      <c r="M3" s="17"/>
    </row>
  </sheetData>
  <mergeCells count="1">
    <mergeCell ref="A1:M1"/>
  </mergeCells>
  <phoneticPr fontId="2" type="noConversion"/>
  <conditionalFormatting sqref="H3">
    <cfRule type="expression" dxfId="75" priority="196">
      <formula>$G3&lt;&gt;"CARTAO CREDITO"</formula>
    </cfRule>
  </conditionalFormatting>
  <conditionalFormatting sqref="J3:K3">
    <cfRule type="expression" dxfId="74" priority="195">
      <formula>J3=""</formula>
    </cfRule>
  </conditionalFormatting>
  <conditionalFormatting sqref="M3">
    <cfRule type="containsText" dxfId="73" priority="1" operator="containsText" text="REEMBOLSO">
      <formula>NOT(ISERROR(SEARCH("REEMBOLSO",M3)))</formula>
    </cfRule>
    <cfRule type="containsText" dxfId="72" priority="64" operator="containsText" text="PAGO">
      <formula>NOT(ISERROR(SEARCH("PAGO",M3)))</formula>
    </cfRule>
    <cfRule type="containsText" dxfId="71" priority="65" operator="containsText" text="PENDENTE">
      <formula>NOT(ISERROR(SEARCH("PENDENTE",M3)))</formula>
    </cfRule>
    <cfRule type="containsText" dxfId="70" priority="66" operator="containsText" text="EMITIDO">
      <formula>NOT(ISERROR(SEARCH("EMITIDO",M3)))</formula>
    </cfRule>
    <cfRule type="containsText" dxfId="69" priority="67" operator="containsText" text="ATRASADO">
      <formula>NOT(ISERROR(SEARCH("ATRASADO",M3)))</formula>
    </cfRule>
  </conditionalFormatting>
  <conditionalFormatting sqref="F3">
    <cfRule type="containsText" dxfId="68" priority="2" operator="containsText" text="ENTRADA">
      <formula>NOT(ISERROR(SEARCH("ENTRADA",F3)))</formula>
    </cfRule>
    <cfRule type="containsText" dxfId="67" priority="3" operator="containsText" text="SAIDA">
      <formula>NOT(ISERROR(SEARCH("SAIDA",F3)))</formula>
    </cfRule>
    <cfRule type="containsText" dxfId="66" priority="4" operator="containsText" text="COBRANCA">
      <formula>NOT(ISERROR(SEARCH("COBRANCA",F3)))</formula>
    </cfRule>
  </conditionalFormatting>
  <conditionalFormatting sqref="B3">
    <cfRule type="expression" dxfId="65" priority="197" stopIfTrue="1">
      <formula>B3="ALIMENTACAO"</formula>
    </cfRule>
    <cfRule type="expression" dxfId="64" priority="199" stopIfTrue="1">
      <formula>B3="ASSINATURA"</formula>
    </cfRule>
    <cfRule type="expression" dxfId="63" priority="201" stopIfTrue="1">
      <formula>B3="BELEZA_PESSOAL"</formula>
    </cfRule>
    <cfRule type="expression" dxfId="62" priority="203" stopIfTrue="1">
      <formula>B3="EDUCACAO"</formula>
    </cfRule>
    <cfRule type="expression" dxfId="61" priority="205" stopIfTrue="1">
      <formula>B3="FINANCEIRO"</formula>
    </cfRule>
    <cfRule type="expression" dxfId="60" priority="207" stopIfTrue="1">
      <formula>B3="LAZER"</formula>
    </cfRule>
    <cfRule type="expression" dxfId="59" priority="209" stopIfTrue="1">
      <formula>B3="MORADIA"</formula>
    </cfRule>
    <cfRule type="expression" dxfId="58" priority="211" stopIfTrue="1">
      <formula>B3="OUTROS"</formula>
    </cfRule>
    <cfRule type="expression" dxfId="57" priority="213" stopIfTrue="1">
      <formula>B3="PETS"</formula>
    </cfRule>
    <cfRule type="expression" dxfId="56" priority="215" stopIfTrue="1">
      <formula>B3="RECEITA"</formula>
    </cfRule>
    <cfRule type="expression" dxfId="55" priority="217" stopIfTrue="1">
      <formula>B3="SAUDE"</formula>
    </cfRule>
    <cfRule type="expression" dxfId="54" priority="219" stopIfTrue="1">
      <formula>B3="SHOPPING"</formula>
    </cfRule>
    <cfRule type="expression" dxfId="53" priority="221" stopIfTrue="1">
      <formula>B3="TRANSPORTE"</formula>
    </cfRule>
  </conditionalFormatting>
  <conditionalFormatting sqref="C3">
    <cfRule type="expression" dxfId="52" priority="198" stopIfTrue="1">
      <formula>B3="ALIMENTACAO"</formula>
    </cfRule>
    <cfRule type="expression" dxfId="51" priority="200" stopIfTrue="1">
      <formula>B3="ASSINATURA"</formula>
    </cfRule>
    <cfRule type="expression" dxfId="50" priority="202" stopIfTrue="1">
      <formula>B3="BELEZA_PESSOAL"</formula>
    </cfRule>
    <cfRule type="expression" dxfId="49" priority="204" stopIfTrue="1">
      <formula>B3="EDUCACAO"</formula>
    </cfRule>
    <cfRule type="expression" dxfId="48" priority="206" stopIfTrue="1">
      <formula>B3="FINANCEIRO"</formula>
    </cfRule>
    <cfRule type="expression" dxfId="47" priority="208" stopIfTrue="1">
      <formula>B3="LAZER"</formula>
    </cfRule>
    <cfRule type="expression" dxfId="46" priority="210" stopIfTrue="1">
      <formula>B3="MORADIA"</formula>
    </cfRule>
    <cfRule type="expression" dxfId="45" priority="212" stopIfTrue="1">
      <formula>B3="OUTROS"</formula>
    </cfRule>
    <cfRule type="expression" dxfId="44" priority="214" stopIfTrue="1">
      <formula>B3="PETS"</formula>
    </cfRule>
    <cfRule type="expression" dxfId="43" priority="216" stopIfTrue="1">
      <formula>B3="RECEITA"</formula>
    </cfRule>
    <cfRule type="expression" dxfId="42" priority="218" stopIfTrue="1">
      <formula>B3="SAUDE"</formula>
    </cfRule>
    <cfRule type="expression" dxfId="41" priority="220" stopIfTrue="1">
      <formula>B3="SHOPPING"</formula>
    </cfRule>
    <cfRule type="expression" dxfId="40" priority="222" stopIfTrue="1">
      <formula>B3="TRANSPORTE"</formula>
    </cfRule>
  </conditionalFormatting>
  <dataValidations count="10">
    <dataValidation type="date" operator="greaterThanOrEqual" sqref="L3" xr:uid="{D7E035EC-BAFE-4014-A81D-8C8FFEAAEDA4}">
      <formula1>1</formula1>
    </dataValidation>
    <dataValidation type="decimal" operator="greaterThanOrEqual" errorTitle="Valor Inválido" error="Veja as regras no comentário do cabeçalho desta coluna" sqref="E3" xr:uid="{D1C64FFC-C402-4C57-8DAE-42E1CF2C3F84}">
      <formula1>0</formula1>
    </dataValidation>
    <dataValidation type="list" errorTitle="Valor Inválido" error="Veja as regras no comentário do cabeçalho desta coluna" sqref="B3" xr:uid="{FC6DEDEC-D1E9-470B-8A0B-FE92AC272F4D}">
      <formula1>lista_categoria_lancamento</formula1>
    </dataValidation>
    <dataValidation type="list" errorTitle="Valor Inválido" error="Veja as regras no comentário do cabeçalho desta coluna" sqref="A3" xr:uid="{5BE60E6B-C460-4CF5-B605-1F8EE04757F1}">
      <formula1>lista_responsavel</formula1>
    </dataValidation>
    <dataValidation type="list" errorTitle="Valor Inválido" error="Veja as regras no comentário do cabeçalho desta coluna" sqref="G3" xr:uid="{CC895688-B0C1-4F47-90F4-1BD71DBBA27B}">
      <formula1>lista_metodos_pagamento</formula1>
    </dataValidation>
    <dataValidation type="list" allowBlank="1" errorTitle="Valor Inválido" error="Veja as regras no comentário do cabeçalho desta coluna" sqref="H3" xr:uid="{CD936006-C337-4E2A-BE93-A3ED9738731D}">
      <formula1>lista_cartao_credito</formula1>
    </dataValidation>
    <dataValidation type="list" sqref="M3" xr:uid="{6AF88057-9ABC-4EF7-8D95-6592DCBE79DA}">
      <formula1>lista_status_pagamento_lancamento</formula1>
    </dataValidation>
    <dataValidation allowBlank="1" sqref="J3:K3 D3" xr:uid="{9D670943-F0F3-4762-BFEC-79AB1C028016}"/>
    <dataValidation type="whole" operator="greaterThan" allowBlank="1" sqref="I3" xr:uid="{A727256A-8E02-40FB-9C6D-963E65800BCC}">
      <formula1>0</formula1>
    </dataValidation>
    <dataValidation type="list" showInputMessage="1" showErrorMessage="1" sqref="F3" xr:uid="{63E9FFEF-7A9B-42F4-845A-CF3C494A96D0}">
      <formula1>lista_tipo_lancamento</formula1>
    </dataValidation>
  </dataValidations>
  <pageMargins left="0.75" right="0.75" top="1" bottom="1" header="0.5" footer="0.5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8D119839-86B7-469A-8E6B-869454A80BA7}">
          <x14:formula1>
            <xm:f>INDIRECT("AUX_Base_Opcoes!$"&amp;ADDRESS(2,MATCH(B3,AUX_Base_Opcoes!$1:$1,0),4)&amp;"#")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34629-5DE3-43EA-9F09-4C911708E7E3}">
  <sheetPr codeName="Planilha10">
    <tabColor rgb="FF0070C0"/>
  </sheetPr>
  <dimension ref="A1:L10"/>
  <sheetViews>
    <sheetView showGridLines="0" zoomScale="94" zoomScaleNormal="94" workbookViewId="0">
      <pane ySplit="2" topLeftCell="A3" activePane="bottomLeft" state="frozen"/>
      <selection pane="bottomLeft" activeCell="A3" sqref="A3:XFD28"/>
    </sheetView>
  </sheetViews>
  <sheetFormatPr defaultRowHeight="14.5" x14ac:dyDescent="0.35"/>
  <cols>
    <col min="1" max="1" width="17.36328125" style="2" customWidth="1"/>
    <col min="2" max="2" width="24.08984375" style="2" customWidth="1"/>
    <col min="3" max="3" width="25.7265625" style="2" customWidth="1"/>
    <col min="4" max="4" width="33" style="2" bestFit="1" customWidth="1"/>
    <col min="5" max="5" width="11.6328125" style="1" customWidth="1"/>
    <col min="6" max="6" width="14.7265625" style="2" customWidth="1"/>
    <col min="7" max="7" width="24.453125" style="12" bestFit="1" customWidth="1"/>
    <col min="8" max="8" width="15" style="62" customWidth="1"/>
    <col min="9" max="9" width="15.6328125" style="13" customWidth="1"/>
    <col min="10" max="10" width="17.1796875" style="7" customWidth="1"/>
    <col min="11" max="11" width="14" style="2" bestFit="1" customWidth="1"/>
    <col min="12" max="12" width="13.1796875" customWidth="1"/>
  </cols>
  <sheetData>
    <row r="1" spans="1:12" x14ac:dyDescent="0.35">
      <c r="A1" s="66" t="s">
        <v>211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9"/>
    </row>
    <row r="2" spans="1:12" x14ac:dyDescent="0.35">
      <c r="A2" s="23" t="s">
        <v>0</v>
      </c>
      <c r="B2" s="23" t="s">
        <v>57</v>
      </c>
      <c r="C2" s="23" t="s">
        <v>58</v>
      </c>
      <c r="D2" s="23" t="s">
        <v>59</v>
      </c>
      <c r="E2" s="23" t="s">
        <v>167</v>
      </c>
      <c r="F2" s="23" t="s">
        <v>226</v>
      </c>
      <c r="G2" s="23" t="s">
        <v>1</v>
      </c>
      <c r="H2" s="60" t="s">
        <v>236</v>
      </c>
      <c r="I2" s="23" t="s">
        <v>243</v>
      </c>
      <c r="J2" s="23" t="s">
        <v>174</v>
      </c>
      <c r="K2" s="23" t="s">
        <v>198</v>
      </c>
    </row>
    <row r="3" spans="1:12" x14ac:dyDescent="0.35">
      <c r="A3" s="35"/>
      <c r="B3" s="35"/>
      <c r="C3" s="35"/>
      <c r="D3" s="35"/>
      <c r="E3" s="36"/>
      <c r="F3" s="37"/>
      <c r="G3" s="41"/>
      <c r="H3" s="61"/>
      <c r="I3" s="69"/>
      <c r="J3" s="15"/>
      <c r="K3" s="40"/>
    </row>
    <row r="6" spans="1:12" x14ac:dyDescent="0.35">
      <c r="D6" s="1"/>
    </row>
    <row r="7" spans="1:12" x14ac:dyDescent="0.35">
      <c r="F7" s="1"/>
    </row>
    <row r="10" spans="1:12" x14ac:dyDescent="0.35">
      <c r="E10" s="11"/>
    </row>
  </sheetData>
  <mergeCells count="1">
    <mergeCell ref="A1:K1"/>
  </mergeCells>
  <phoneticPr fontId="2" type="noConversion"/>
  <conditionalFormatting sqref="E4:E1048576">
    <cfRule type="containsText" dxfId="39" priority="51" operator="containsText" text="EVENTUAL">
      <formula>NOT(ISERROR(SEARCH("EVENTUAL",E4)))</formula>
    </cfRule>
    <cfRule type="containsText" dxfId="38" priority="52" operator="containsText" text="FIXO">
      <formula>NOT(ISERROR(SEARCH("FIXO",E4)))</formula>
    </cfRule>
  </conditionalFormatting>
  <conditionalFormatting sqref="H3">
    <cfRule type="expression" dxfId="37" priority="54">
      <formula>$G3&lt;&gt;"CARTAO CREDITO"</formula>
    </cfRule>
  </conditionalFormatting>
  <conditionalFormatting sqref="K3">
    <cfRule type="containsText" dxfId="36" priority="49" operator="containsText" text="PENDENTE">
      <formula>NOT(ISERROR(SEARCH("PENDENTE",K3)))</formula>
    </cfRule>
    <cfRule type="containsText" dxfId="35" priority="50" operator="containsText" text="EMITIDO">
      <formula>NOT(ISERROR(SEARCH("EMITIDO",K3)))</formula>
    </cfRule>
    <cfRule type="containsText" dxfId="34" priority="53" operator="containsText" text="ATRASADO">
      <formula>NOT(ISERROR(SEARCH("ATRASADO",K3)))</formula>
    </cfRule>
  </conditionalFormatting>
  <conditionalFormatting sqref="K3">
    <cfRule type="containsText" dxfId="33" priority="1" operator="containsText" text="REEMBOLSO">
      <formula>NOT(ISERROR(SEARCH("REEMBOLSO",K3)))</formula>
    </cfRule>
    <cfRule type="containsText" dxfId="32" priority="48" operator="containsText" text="PAGO">
      <formula>NOT(ISERROR(SEARCH("PAGO",K3)))</formula>
    </cfRule>
  </conditionalFormatting>
  <conditionalFormatting sqref="F3">
    <cfRule type="containsText" dxfId="31" priority="2" operator="containsText" text="ENTRADA">
      <formula>NOT(ISERROR(SEARCH("ENTRADA",F3)))</formula>
    </cfRule>
    <cfRule type="containsText" dxfId="30" priority="3" operator="containsText" text="SAIDA">
      <formula>NOT(ISERROR(SEARCH("SAIDA",F3)))</formula>
    </cfRule>
    <cfRule type="containsText" dxfId="29" priority="4" operator="containsText" text="COBRANCA">
      <formula>NOT(ISERROR(SEARCH("COBRANCA",F3)))</formula>
    </cfRule>
  </conditionalFormatting>
  <conditionalFormatting sqref="B3">
    <cfRule type="expression" dxfId="28" priority="55" stopIfTrue="1">
      <formula>B3="ALIMENTACAO"</formula>
    </cfRule>
    <cfRule type="expression" dxfId="27" priority="57" stopIfTrue="1">
      <formula>B3="ASSINATURA"</formula>
    </cfRule>
    <cfRule type="expression" dxfId="26" priority="59" stopIfTrue="1">
      <formula>B3="BELEZA_PESSOAL"</formula>
    </cfRule>
    <cfRule type="expression" dxfId="25" priority="61" stopIfTrue="1">
      <formula>B3="EDUCACAO"</formula>
    </cfRule>
    <cfRule type="expression" dxfId="24" priority="63" stopIfTrue="1">
      <formula>B3="FINANCEIRO"</formula>
    </cfRule>
    <cfRule type="expression" dxfId="23" priority="65" stopIfTrue="1">
      <formula>B3="LAZER"</formula>
    </cfRule>
    <cfRule type="expression" dxfId="22" priority="67" stopIfTrue="1">
      <formula>B3="MORADIA"</formula>
    </cfRule>
    <cfRule type="expression" dxfId="21" priority="69" stopIfTrue="1">
      <formula>B3="OUTROS"</formula>
    </cfRule>
    <cfRule type="expression" dxfId="20" priority="71" stopIfTrue="1">
      <formula>B3="PETS"</formula>
    </cfRule>
    <cfRule type="expression" dxfId="19" priority="73" stopIfTrue="1">
      <formula>B3="RECEITA"</formula>
    </cfRule>
    <cfRule type="expression" dxfId="18" priority="75" stopIfTrue="1">
      <formula>B3="SAUDE"</formula>
    </cfRule>
    <cfRule type="expression" dxfId="17" priority="77" stopIfTrue="1">
      <formula>B3="SHOPPING"</formula>
    </cfRule>
    <cfRule type="expression" dxfId="16" priority="79" stopIfTrue="1">
      <formula>B3="TRANSPORTE"</formula>
    </cfRule>
  </conditionalFormatting>
  <conditionalFormatting sqref="C3">
    <cfRule type="expression" dxfId="15" priority="56" stopIfTrue="1">
      <formula>B3="ALIMENTACAO"</formula>
    </cfRule>
    <cfRule type="expression" dxfId="14" priority="58" stopIfTrue="1">
      <formula>B3="ASSINATURA"</formula>
    </cfRule>
    <cfRule type="expression" dxfId="13" priority="60" stopIfTrue="1">
      <formula>B3="BELEZA_PESSOAL"</formula>
    </cfRule>
    <cfRule type="expression" dxfId="12" priority="62" stopIfTrue="1">
      <formula>B3="EDUCACAO"</formula>
    </cfRule>
    <cfRule type="expression" dxfId="11" priority="64" stopIfTrue="1">
      <formula>B3="FINANCEIRO"</formula>
    </cfRule>
    <cfRule type="expression" dxfId="10" priority="66" stopIfTrue="1">
      <formula>B3="LAZER"</formula>
    </cfRule>
    <cfRule type="expression" dxfId="9" priority="68" stopIfTrue="1">
      <formula>B3="MORADIA"</formula>
    </cfRule>
    <cfRule type="expression" dxfId="8" priority="70" stopIfTrue="1">
      <formula>B3="OUTROS"</formula>
    </cfRule>
    <cfRule type="expression" dxfId="7" priority="72" stopIfTrue="1">
      <formula>B3="PETS"</formula>
    </cfRule>
    <cfRule type="expression" dxfId="6" priority="74" stopIfTrue="1">
      <formula>B3="RECEITA"</formula>
    </cfRule>
    <cfRule type="expression" dxfId="5" priority="76" stopIfTrue="1">
      <formula>B3="SAUDE"</formula>
    </cfRule>
    <cfRule type="expression" dxfId="4" priority="78" stopIfTrue="1">
      <formula>B3="SHOPPING"</formula>
    </cfRule>
    <cfRule type="expression" dxfId="3" priority="80" stopIfTrue="1">
      <formula>B3="TRANSPORTE"</formula>
    </cfRule>
  </conditionalFormatting>
  <dataValidations count="10">
    <dataValidation type="decimal" operator="greaterThanOrEqual" showInputMessage="1" errorTitle="Valor Inválido" error="Veja as regras no comentário do cabeçalho desta coluna" sqref="E3" xr:uid="{01D92B28-F961-45C1-ACED-EEAA9D56A8B2}">
      <formula1>0</formula1>
    </dataValidation>
    <dataValidation type="list" errorTitle="Valor Inválido" error="Veja as regras no comentário do cabeçalho desta coluna" sqref="A3" xr:uid="{39587160-2874-4D5F-A76D-64E796DDF589}">
      <formula1>lista_responsavel</formula1>
    </dataValidation>
    <dataValidation type="list" errorTitle="Valor Inválido" error="Veja as regras no comentário do cabeçalho desta coluna" sqref="B3" xr:uid="{44C530DF-22A8-4A50-B3E6-51B43E6FE2AF}">
      <formula1>lista_categoria_lancamento</formula1>
    </dataValidation>
    <dataValidation type="list" showInputMessage="1" sqref="G3" xr:uid="{D085B3B3-94CB-4BB4-BBAB-C29D028C4435}">
      <formula1>lista_metodos_pagamento</formula1>
    </dataValidation>
    <dataValidation type="list" showInputMessage="1" sqref="F3" xr:uid="{1178C500-0C7C-4D28-ADAD-A420B8418DF2}">
      <formula1>lista_tipo_lancamento</formula1>
    </dataValidation>
    <dataValidation type="date" operator="greaterThanOrEqual" errorTitle="Valor Inválido" error="Veja as regras no comentário do cabeçalho desta coluna" sqref="J3" xr:uid="{9AAC2D92-C080-43BB-BC58-DFD64D59916B}">
      <formula1>1</formula1>
    </dataValidation>
    <dataValidation type="list" sqref="K3" xr:uid="{A020F951-C93D-4357-AF85-DF2B82665FA1}">
      <formula1>lista_status_pagamento_lancamento</formula1>
    </dataValidation>
    <dataValidation allowBlank="1" sqref="D3" xr:uid="{B765DBE3-6905-46EE-B714-76DBE5255108}"/>
    <dataValidation type="list" allowBlank="1" showInputMessage="1" showErrorMessage="1" sqref="H3" xr:uid="{2C6A2372-A42A-487C-9F73-916019310D9C}">
      <formula1>lista_cartao_credito</formula1>
    </dataValidation>
    <dataValidation type="list" showInputMessage="1" showErrorMessage="1" sqref="I3" xr:uid="{4C4AE55D-178C-4914-B809-5B09CDCC79EE}">
      <formula1>lista_frequencia</formula1>
    </dataValidation>
  </dataValidations>
  <pageMargins left="0.75" right="0.75" top="1" bottom="1" header="0.5" footer="0.5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errorTitle="Valor Inválido" error="Veja as regras no comentário do cabeçalho desta coluna" xr:uid="{F6A5F0EF-FF66-480C-B8D5-A18CA9351869}">
          <x14:formula1>
            <xm:f>INDIRECT("AUX_Base_Opcoes!$"&amp;ADDRESS(2,MATCH(B3,AUX_Base_Opcoes!$1:$1,0),4)&amp;"#")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C53E5-100A-452B-A7CE-D31F8AE36D10}">
  <sheetPr codeName="Planilha5">
    <tabColor theme="1" tint="0.34998626667073579"/>
  </sheetPr>
  <dimension ref="A1:U36"/>
  <sheetViews>
    <sheetView zoomScale="70" zoomScaleNormal="70" workbookViewId="0">
      <selection activeCell="P5" sqref="P5"/>
    </sheetView>
  </sheetViews>
  <sheetFormatPr defaultRowHeight="14.5" x14ac:dyDescent="0.35"/>
  <cols>
    <col min="1" max="1" width="16.1796875" bestFit="1" customWidth="1"/>
    <col min="2" max="2" width="17.81640625" bestFit="1" customWidth="1"/>
    <col min="3" max="3" width="17.90625" bestFit="1" customWidth="1"/>
    <col min="4" max="4" width="21.81640625" bestFit="1" customWidth="1"/>
    <col min="5" max="5" width="24.54296875" bestFit="1" customWidth="1"/>
    <col min="6" max="6" width="23.453125" bestFit="1" customWidth="1"/>
    <col min="7" max="7" width="23.81640625" bestFit="1" customWidth="1"/>
    <col min="8" max="8" width="25.90625" bestFit="1" customWidth="1"/>
    <col min="9" max="9" width="18.54296875" bestFit="1" customWidth="1"/>
    <col min="10" max="10" width="23.453125" bestFit="1" customWidth="1"/>
    <col min="11" max="11" width="19.81640625" bestFit="1" customWidth="1"/>
    <col min="12" max="12" width="15" bestFit="1" customWidth="1"/>
    <col min="13" max="13" width="22.1796875" bestFit="1" customWidth="1"/>
    <col min="14" max="14" width="26.453125" bestFit="1" customWidth="1"/>
    <col min="15" max="15" width="14.54296875" bestFit="1" customWidth="1"/>
    <col min="16" max="16" width="23.453125" bestFit="1" customWidth="1"/>
    <col min="17" max="17" width="15.6328125" bestFit="1" customWidth="1"/>
    <col min="18" max="18" width="19.7265625" bestFit="1" customWidth="1"/>
    <col min="19" max="19" width="22.1796875" bestFit="1" customWidth="1"/>
    <col min="20" max="20" width="20.6328125" bestFit="1" customWidth="1"/>
    <col min="21" max="22" width="18.6328125" bestFit="1" customWidth="1"/>
    <col min="23" max="24" width="18.6328125" customWidth="1"/>
    <col min="25" max="25" width="18.6328125" bestFit="1" customWidth="1"/>
    <col min="26" max="26" width="27.1796875" bestFit="1" customWidth="1"/>
    <col min="27" max="27" width="18.6328125" bestFit="1" customWidth="1"/>
    <col min="28" max="28" width="27.1796875" bestFit="1" customWidth="1"/>
    <col min="29" max="29" width="28" bestFit="1" customWidth="1"/>
    <col min="30" max="30" width="20.6328125" customWidth="1"/>
    <col min="31" max="32" width="27.81640625" bestFit="1" customWidth="1"/>
    <col min="33" max="33" width="27.81640625" customWidth="1"/>
    <col min="34" max="34" width="28.54296875" bestFit="1" customWidth="1"/>
    <col min="35" max="35" width="22.26953125" bestFit="1" customWidth="1"/>
    <col min="36" max="36" width="18.81640625" bestFit="1" customWidth="1"/>
    <col min="37" max="37" width="21.6328125" bestFit="1" customWidth="1"/>
    <col min="38" max="38" width="16.453125" bestFit="1" customWidth="1"/>
    <col min="39" max="39" width="23.54296875" bestFit="1" customWidth="1"/>
    <col min="40" max="40" width="20" bestFit="1" customWidth="1"/>
    <col min="41" max="41" width="21.81640625" bestFit="1" customWidth="1"/>
    <col min="42" max="42" width="19.26953125" bestFit="1" customWidth="1"/>
    <col min="43" max="43" width="28.54296875" customWidth="1"/>
    <col min="44" max="45" width="19.26953125" bestFit="1" customWidth="1"/>
    <col min="46" max="46" width="22" bestFit="1" customWidth="1"/>
    <col min="47" max="48" width="15.453125" bestFit="1" customWidth="1"/>
    <col min="49" max="49" width="20.1796875" bestFit="1" customWidth="1"/>
    <col min="50" max="50" width="12.453125" bestFit="1" customWidth="1"/>
    <col min="51" max="51" width="17.453125" bestFit="1" customWidth="1"/>
    <col min="52" max="52" width="21.08984375" bestFit="1" customWidth="1"/>
    <col min="53" max="53" width="15.90625" bestFit="1" customWidth="1"/>
    <col min="54" max="54" width="23" bestFit="1" customWidth="1"/>
    <col min="55" max="55" width="19.36328125" bestFit="1" customWidth="1"/>
    <col min="56" max="56" width="21.81640625" bestFit="1" customWidth="1"/>
    <col min="57" max="57" width="26.26953125" bestFit="1" customWidth="1"/>
    <col min="58" max="58" width="18.81640625" bestFit="1" customWidth="1"/>
    <col min="59" max="59" width="24" bestFit="1" customWidth="1"/>
    <col min="60" max="60" width="18.81640625" bestFit="1" customWidth="1"/>
    <col min="61" max="61" width="25.90625" bestFit="1" customWidth="1"/>
    <col min="62" max="62" width="22.26953125" bestFit="1" customWidth="1"/>
    <col min="63" max="63" width="21.81640625" bestFit="1" customWidth="1"/>
    <col min="64" max="64" width="26.26953125" customWidth="1"/>
    <col min="65" max="66" width="18.81640625" bestFit="1" customWidth="1"/>
    <col min="67" max="67" width="26.26953125" bestFit="1" customWidth="1"/>
    <col min="68" max="68" width="18.81640625" bestFit="1" customWidth="1"/>
    <col min="69" max="70" width="18.81640625" customWidth="1"/>
    <col min="71" max="71" width="26.26953125" customWidth="1"/>
    <col min="72" max="72" width="18.81640625" bestFit="1" customWidth="1"/>
    <col min="73" max="73" width="25.1796875" bestFit="1" customWidth="1"/>
    <col min="74" max="74" width="21.81640625" bestFit="1" customWidth="1"/>
    <col min="75" max="75" width="18.81640625" bestFit="1" customWidth="1"/>
    <col min="76" max="76" width="21.26953125" bestFit="1" customWidth="1"/>
    <col min="77" max="77" width="26.36328125" bestFit="1" customWidth="1"/>
    <col min="78" max="78" width="23" bestFit="1" customWidth="1"/>
    <col min="79" max="79" width="26.26953125" customWidth="1"/>
    <col min="80" max="80" width="18.81640625" bestFit="1" customWidth="1"/>
    <col min="81" max="82" width="26.26953125" bestFit="1" customWidth="1"/>
    <col min="83" max="85" width="26.26953125" customWidth="1"/>
    <col min="86" max="86" width="26.36328125" bestFit="1" customWidth="1"/>
    <col min="87" max="87" width="14.90625" bestFit="1" customWidth="1"/>
    <col min="88" max="88" width="23.26953125" bestFit="1" customWidth="1"/>
    <col min="89" max="89" width="15.54296875" bestFit="1" customWidth="1"/>
    <col min="90" max="90" width="17.81640625" bestFit="1" customWidth="1"/>
    <col min="91" max="91" width="17" bestFit="1" customWidth="1"/>
    <col min="92" max="92" width="20.08984375" bestFit="1" customWidth="1"/>
    <col min="93" max="93" width="21.81640625" bestFit="1" customWidth="1"/>
    <col min="94" max="94" width="24.54296875" bestFit="1" customWidth="1"/>
    <col min="95" max="95" width="19.90625" bestFit="1" customWidth="1"/>
    <col min="96" max="96" width="23.453125" bestFit="1" customWidth="1"/>
    <col min="97" max="97" width="23.81640625" bestFit="1" customWidth="1"/>
    <col min="98" max="98" width="18.54296875" bestFit="1" customWidth="1"/>
    <col min="99" max="99" width="21.7265625" bestFit="1" customWidth="1"/>
    <col min="100" max="100" width="19.81640625" bestFit="1" customWidth="1"/>
    <col min="101" max="101" width="18.36328125" bestFit="1" customWidth="1"/>
    <col min="102" max="102" width="21.54296875" bestFit="1" customWidth="1"/>
    <col min="103" max="103" width="8.54296875" bestFit="1" customWidth="1"/>
    <col min="104" max="104" width="25.90625" bestFit="1" customWidth="1"/>
    <col min="105" max="105" width="22.54296875" bestFit="1" customWidth="1"/>
    <col min="106" max="106" width="23.36328125" bestFit="1" customWidth="1"/>
    <col min="107" max="107" width="24.81640625" bestFit="1" customWidth="1"/>
    <col min="108" max="108" width="21.1796875" bestFit="1" customWidth="1"/>
    <col min="109" max="109" width="18.1796875" bestFit="1" customWidth="1"/>
    <col min="110" max="110" width="20.54296875" bestFit="1" customWidth="1"/>
    <col min="111" max="112" width="25.6328125" bestFit="1" customWidth="1"/>
    <col min="113" max="113" width="11.453125" bestFit="1" customWidth="1"/>
  </cols>
  <sheetData>
    <row r="1" spans="1:21" x14ac:dyDescent="0.35">
      <c r="A1" t="s">
        <v>7</v>
      </c>
      <c r="B1" t="s">
        <v>176</v>
      </c>
      <c r="C1" t="s">
        <v>197</v>
      </c>
      <c r="D1" t="s">
        <v>21</v>
      </c>
      <c r="E1" t="s">
        <v>24</v>
      </c>
      <c r="F1" t="s">
        <v>26</v>
      </c>
      <c r="G1" t="s">
        <v>29</v>
      </c>
      <c r="H1" t="s">
        <v>63</v>
      </c>
      <c r="I1" t="s">
        <v>34</v>
      </c>
      <c r="J1" t="s">
        <v>36</v>
      </c>
      <c r="K1" t="s">
        <v>43</v>
      </c>
      <c r="L1" t="s">
        <v>50</v>
      </c>
      <c r="M1" t="s">
        <v>53</v>
      </c>
      <c r="N1" t="s">
        <v>199</v>
      </c>
      <c r="O1" t="s">
        <v>243</v>
      </c>
      <c r="P1" t="s">
        <v>1</v>
      </c>
      <c r="Q1" t="s">
        <v>0</v>
      </c>
      <c r="R1" t="s">
        <v>224</v>
      </c>
      <c r="S1" t="s">
        <v>240</v>
      </c>
      <c r="T1" t="s">
        <v>225</v>
      </c>
      <c r="U1" t="s">
        <v>239</v>
      </c>
    </row>
    <row r="2" spans="1:21" x14ac:dyDescent="0.35">
      <c r="A2" t="s">
        <v>178</v>
      </c>
      <c r="B2" t="s">
        <v>75</v>
      </c>
      <c r="C2" t="s">
        <v>17</v>
      </c>
      <c r="D2" t="s">
        <v>88</v>
      </c>
      <c r="E2" t="s">
        <v>214</v>
      </c>
      <c r="F2" t="s">
        <v>99</v>
      </c>
      <c r="G2" t="s">
        <v>109</v>
      </c>
      <c r="H2" t="s">
        <v>153</v>
      </c>
      <c r="I2" t="s">
        <v>120</v>
      </c>
      <c r="J2" t="s">
        <v>192</v>
      </c>
      <c r="K2" t="s">
        <v>44</v>
      </c>
      <c r="L2" t="s">
        <v>142</v>
      </c>
      <c r="M2" t="s">
        <v>144</v>
      </c>
      <c r="N2" t="s">
        <v>7</v>
      </c>
      <c r="O2" t="s">
        <v>246</v>
      </c>
      <c r="P2" t="s">
        <v>4</v>
      </c>
      <c r="Q2" t="s">
        <v>232</v>
      </c>
      <c r="R2" t="s">
        <v>168</v>
      </c>
      <c r="S2" t="s">
        <v>175</v>
      </c>
      <c r="T2" t="s">
        <v>217</v>
      </c>
      <c r="U2" t="s">
        <v>242</v>
      </c>
    </row>
    <row r="3" spans="1:21" x14ac:dyDescent="0.35">
      <c r="A3" t="s">
        <v>66</v>
      </c>
      <c r="B3" t="s">
        <v>10</v>
      </c>
      <c r="C3" t="s">
        <v>18</v>
      </c>
      <c r="D3" t="s">
        <v>22</v>
      </c>
      <c r="E3" t="s">
        <v>184</v>
      </c>
      <c r="F3" t="s">
        <v>27</v>
      </c>
      <c r="G3" t="s">
        <v>30</v>
      </c>
      <c r="H3" t="s">
        <v>190</v>
      </c>
      <c r="I3" t="s">
        <v>121</v>
      </c>
      <c r="J3" t="s">
        <v>126</v>
      </c>
      <c r="K3" t="s">
        <v>129</v>
      </c>
      <c r="L3" t="s">
        <v>220</v>
      </c>
      <c r="M3" t="s">
        <v>196</v>
      </c>
      <c r="N3" t="s">
        <v>176</v>
      </c>
      <c r="O3" t="s">
        <v>250</v>
      </c>
      <c r="P3" t="s">
        <v>2</v>
      </c>
      <c r="Q3" t="s">
        <v>233</v>
      </c>
      <c r="R3" t="s">
        <v>177</v>
      </c>
      <c r="S3" t="s">
        <v>208</v>
      </c>
      <c r="T3" t="s">
        <v>218</v>
      </c>
    </row>
    <row r="4" spans="1:21" x14ac:dyDescent="0.35">
      <c r="A4" t="s">
        <v>67</v>
      </c>
      <c r="B4" t="s">
        <v>85</v>
      </c>
      <c r="C4" t="s">
        <v>180</v>
      </c>
      <c r="D4" t="s">
        <v>23</v>
      </c>
      <c r="E4" t="s">
        <v>169</v>
      </c>
      <c r="F4" t="s">
        <v>100</v>
      </c>
      <c r="G4" t="s">
        <v>110</v>
      </c>
      <c r="H4" t="s">
        <v>231</v>
      </c>
      <c r="I4" t="s">
        <v>122</v>
      </c>
      <c r="J4" t="s">
        <v>213</v>
      </c>
      <c r="K4" t="s">
        <v>45</v>
      </c>
      <c r="L4" t="s">
        <v>143</v>
      </c>
      <c r="M4" t="s">
        <v>54</v>
      </c>
      <c r="N4" t="s">
        <v>197</v>
      </c>
      <c r="O4" t="s">
        <v>244</v>
      </c>
      <c r="P4" t="s">
        <v>3</v>
      </c>
      <c r="Q4" t="s">
        <v>209</v>
      </c>
      <c r="S4" t="s">
        <v>223</v>
      </c>
    </row>
    <row r="5" spans="1:21" x14ac:dyDescent="0.35">
      <c r="A5" t="s">
        <v>68</v>
      </c>
      <c r="B5" t="s">
        <v>86</v>
      </c>
      <c r="C5" t="s">
        <v>181</v>
      </c>
      <c r="D5" t="s">
        <v>89</v>
      </c>
      <c r="E5" t="s">
        <v>60</v>
      </c>
      <c r="F5" t="s">
        <v>28</v>
      </c>
      <c r="G5" t="s">
        <v>111</v>
      </c>
      <c r="H5" t="s">
        <v>154</v>
      </c>
      <c r="I5" t="s">
        <v>123</v>
      </c>
      <c r="J5" t="s">
        <v>37</v>
      </c>
      <c r="K5" t="s">
        <v>130</v>
      </c>
      <c r="L5" t="s">
        <v>51</v>
      </c>
      <c r="M5" t="s">
        <v>62</v>
      </c>
      <c r="N5" t="s">
        <v>21</v>
      </c>
      <c r="O5" t="s">
        <v>245</v>
      </c>
      <c r="P5" t="s">
        <v>172</v>
      </c>
      <c r="Q5" t="s">
        <v>210</v>
      </c>
      <c r="S5" t="s">
        <v>227</v>
      </c>
    </row>
    <row r="6" spans="1:21" x14ac:dyDescent="0.35">
      <c r="A6" t="s">
        <v>69</v>
      </c>
      <c r="B6" t="s">
        <v>158</v>
      </c>
      <c r="C6" t="s">
        <v>182</v>
      </c>
      <c r="D6" t="s">
        <v>90</v>
      </c>
      <c r="E6" t="s">
        <v>93</v>
      </c>
      <c r="F6" t="s">
        <v>101</v>
      </c>
      <c r="G6" t="s">
        <v>31</v>
      </c>
      <c r="H6" t="s">
        <v>155</v>
      </c>
      <c r="I6" t="s">
        <v>124</v>
      </c>
      <c r="J6" t="s">
        <v>38</v>
      </c>
      <c r="K6" t="s">
        <v>46</v>
      </c>
      <c r="L6" t="s">
        <v>101</v>
      </c>
      <c r="M6" t="s">
        <v>145</v>
      </c>
      <c r="N6" t="s">
        <v>24</v>
      </c>
      <c r="O6" t="s">
        <v>248</v>
      </c>
      <c r="P6" t="s">
        <v>156</v>
      </c>
      <c r="S6" t="s">
        <v>257</v>
      </c>
    </row>
    <row r="7" spans="1:21" x14ac:dyDescent="0.35">
      <c r="A7" t="s">
        <v>70</v>
      </c>
      <c r="B7" t="s">
        <v>159</v>
      </c>
      <c r="C7" t="s">
        <v>19</v>
      </c>
      <c r="D7" t="s">
        <v>91</v>
      </c>
      <c r="E7" t="s">
        <v>94</v>
      </c>
      <c r="F7" t="s">
        <v>102</v>
      </c>
      <c r="G7" t="s">
        <v>186</v>
      </c>
      <c r="H7" t="s">
        <v>255</v>
      </c>
      <c r="I7" t="s">
        <v>222</v>
      </c>
      <c r="J7" t="s">
        <v>193</v>
      </c>
      <c r="K7" t="s">
        <v>131</v>
      </c>
      <c r="L7" t="s">
        <v>258</v>
      </c>
      <c r="M7" t="s">
        <v>146</v>
      </c>
      <c r="N7" t="s">
        <v>26</v>
      </c>
      <c r="O7" t="s">
        <v>249</v>
      </c>
      <c r="P7" t="s">
        <v>5</v>
      </c>
    </row>
    <row r="8" spans="1:21" x14ac:dyDescent="0.35">
      <c r="A8" t="s">
        <v>71</v>
      </c>
      <c r="B8" t="s">
        <v>207</v>
      </c>
      <c r="C8" t="s">
        <v>82</v>
      </c>
      <c r="D8" t="s">
        <v>183</v>
      </c>
      <c r="E8" t="s">
        <v>95</v>
      </c>
      <c r="F8" t="s">
        <v>103</v>
      </c>
      <c r="G8" t="s">
        <v>187</v>
      </c>
      <c r="I8" t="s">
        <v>191</v>
      </c>
      <c r="J8" t="s">
        <v>171</v>
      </c>
      <c r="K8" t="s">
        <v>132</v>
      </c>
      <c r="L8" t="s">
        <v>221</v>
      </c>
      <c r="M8" t="s">
        <v>147</v>
      </c>
      <c r="N8" t="s">
        <v>29</v>
      </c>
      <c r="O8" t="s">
        <v>247</v>
      </c>
      <c r="P8" t="s">
        <v>6</v>
      </c>
    </row>
    <row r="9" spans="1:21" x14ac:dyDescent="0.35">
      <c r="A9" t="s">
        <v>72</v>
      </c>
      <c r="B9" t="s">
        <v>160</v>
      </c>
      <c r="C9" t="s">
        <v>83</v>
      </c>
      <c r="D9" t="s">
        <v>92</v>
      </c>
      <c r="E9" t="s">
        <v>96</v>
      </c>
      <c r="F9" t="s">
        <v>104</v>
      </c>
      <c r="G9" t="s">
        <v>112</v>
      </c>
      <c r="I9" t="s">
        <v>254</v>
      </c>
      <c r="J9" t="s">
        <v>39</v>
      </c>
      <c r="K9" t="s">
        <v>133</v>
      </c>
      <c r="L9" t="s">
        <v>230</v>
      </c>
      <c r="M9" t="s">
        <v>148</v>
      </c>
      <c r="N9" t="s">
        <v>63</v>
      </c>
      <c r="P9" t="s">
        <v>157</v>
      </c>
    </row>
    <row r="10" spans="1:21" x14ac:dyDescent="0.35">
      <c r="A10" t="s">
        <v>73</v>
      </c>
      <c r="B10" t="s">
        <v>64</v>
      </c>
      <c r="C10" t="s">
        <v>84</v>
      </c>
      <c r="E10" t="s">
        <v>97</v>
      </c>
      <c r="F10" t="s">
        <v>105</v>
      </c>
      <c r="G10" t="s">
        <v>32</v>
      </c>
      <c r="I10" t="s">
        <v>125</v>
      </c>
      <c r="J10" t="s">
        <v>40</v>
      </c>
      <c r="K10" t="s">
        <v>134</v>
      </c>
      <c r="L10" t="s">
        <v>52</v>
      </c>
      <c r="M10" t="s">
        <v>149</v>
      </c>
      <c r="N10" t="s">
        <v>34</v>
      </c>
      <c r="P10" t="s">
        <v>170</v>
      </c>
    </row>
    <row r="11" spans="1:21" x14ac:dyDescent="0.35">
      <c r="A11" t="s">
        <v>8</v>
      </c>
      <c r="B11" t="s">
        <v>161</v>
      </c>
      <c r="E11" t="s">
        <v>98</v>
      </c>
      <c r="F11" t="s">
        <v>106</v>
      </c>
      <c r="G11" t="s">
        <v>216</v>
      </c>
      <c r="I11" t="s">
        <v>35</v>
      </c>
      <c r="J11" t="s">
        <v>41</v>
      </c>
      <c r="K11" t="s">
        <v>135</v>
      </c>
      <c r="L11" t="s">
        <v>173</v>
      </c>
      <c r="M11" t="s">
        <v>150</v>
      </c>
      <c r="N11" t="s">
        <v>36</v>
      </c>
    </row>
    <row r="12" spans="1:21" x14ac:dyDescent="0.35">
      <c r="A12" t="s">
        <v>74</v>
      </c>
      <c r="B12" t="s">
        <v>162</v>
      </c>
      <c r="E12" t="s">
        <v>185</v>
      </c>
      <c r="F12" t="s">
        <v>107</v>
      </c>
      <c r="G12" t="s">
        <v>113</v>
      </c>
      <c r="J12" t="s">
        <v>61</v>
      </c>
      <c r="K12" t="s">
        <v>136</v>
      </c>
      <c r="L12" t="s">
        <v>219</v>
      </c>
      <c r="M12" t="s">
        <v>55</v>
      </c>
      <c r="N12" t="s">
        <v>43</v>
      </c>
    </row>
    <row r="13" spans="1:21" x14ac:dyDescent="0.35">
      <c r="A13" t="s">
        <v>9</v>
      </c>
      <c r="B13" t="s">
        <v>234</v>
      </c>
      <c r="F13" t="s">
        <v>108</v>
      </c>
      <c r="G13" t="s">
        <v>33</v>
      </c>
      <c r="J13" t="s">
        <v>127</v>
      </c>
      <c r="K13" t="s">
        <v>137</v>
      </c>
      <c r="M13" t="s">
        <v>235</v>
      </c>
      <c r="N13" t="s">
        <v>50</v>
      </c>
    </row>
    <row r="14" spans="1:21" x14ac:dyDescent="0.35">
      <c r="B14" t="s">
        <v>76</v>
      </c>
      <c r="G14" t="s">
        <v>114</v>
      </c>
      <c r="J14" t="s">
        <v>128</v>
      </c>
      <c r="K14" t="s">
        <v>47</v>
      </c>
      <c r="M14" t="s">
        <v>56</v>
      </c>
      <c r="N14" t="s">
        <v>53</v>
      </c>
    </row>
    <row r="15" spans="1:21" x14ac:dyDescent="0.35">
      <c r="B15" t="s">
        <v>163</v>
      </c>
      <c r="G15" t="s">
        <v>115</v>
      </c>
      <c r="J15" t="s">
        <v>25</v>
      </c>
      <c r="K15" t="s">
        <v>48</v>
      </c>
      <c r="M15" t="s">
        <v>151</v>
      </c>
    </row>
    <row r="16" spans="1:21" x14ac:dyDescent="0.35">
      <c r="B16" t="s">
        <v>77</v>
      </c>
      <c r="G16" t="s">
        <v>188</v>
      </c>
      <c r="J16" t="s">
        <v>194</v>
      </c>
      <c r="K16" t="s">
        <v>49</v>
      </c>
      <c r="M16" t="s">
        <v>152</v>
      </c>
    </row>
    <row r="17" spans="2:11" x14ac:dyDescent="0.35">
      <c r="B17" t="s">
        <v>78</v>
      </c>
      <c r="G17" t="s">
        <v>116</v>
      </c>
      <c r="J17" t="s">
        <v>195</v>
      </c>
      <c r="K17" t="s">
        <v>138</v>
      </c>
    </row>
    <row r="18" spans="2:11" x14ac:dyDescent="0.35">
      <c r="B18" t="s">
        <v>164</v>
      </c>
      <c r="G18" t="s">
        <v>117</v>
      </c>
      <c r="J18" t="s">
        <v>42</v>
      </c>
      <c r="K18" t="s">
        <v>139</v>
      </c>
    </row>
    <row r="19" spans="2:11" x14ac:dyDescent="0.35">
      <c r="B19" t="s">
        <v>11</v>
      </c>
      <c r="G19" t="s">
        <v>118</v>
      </c>
      <c r="K19" t="s">
        <v>140</v>
      </c>
    </row>
    <row r="20" spans="2:11" x14ac:dyDescent="0.35">
      <c r="B20" t="s">
        <v>20</v>
      </c>
      <c r="G20" t="s">
        <v>189</v>
      </c>
      <c r="K20" t="s">
        <v>141</v>
      </c>
    </row>
    <row r="21" spans="2:11" x14ac:dyDescent="0.35">
      <c r="B21" t="s">
        <v>79</v>
      </c>
      <c r="G21" t="s">
        <v>119</v>
      </c>
    </row>
    <row r="22" spans="2:11" x14ac:dyDescent="0.35">
      <c r="B22" t="s">
        <v>253</v>
      </c>
    </row>
    <row r="23" spans="2:11" x14ac:dyDescent="0.35">
      <c r="B23" t="s">
        <v>12</v>
      </c>
    </row>
    <row r="24" spans="2:11" x14ac:dyDescent="0.35">
      <c r="B24" t="s">
        <v>80</v>
      </c>
    </row>
    <row r="25" spans="2:11" x14ac:dyDescent="0.35">
      <c r="B25" t="s">
        <v>165</v>
      </c>
    </row>
    <row r="26" spans="2:11" x14ac:dyDescent="0.35">
      <c r="B26" t="s">
        <v>13</v>
      </c>
    </row>
    <row r="27" spans="2:11" x14ac:dyDescent="0.35">
      <c r="B27" t="s">
        <v>63</v>
      </c>
    </row>
    <row r="28" spans="2:11" x14ac:dyDescent="0.35">
      <c r="B28" t="s">
        <v>81</v>
      </c>
    </row>
    <row r="29" spans="2:11" x14ac:dyDescent="0.35">
      <c r="B29" t="s">
        <v>215</v>
      </c>
    </row>
    <row r="30" spans="2:11" x14ac:dyDescent="0.35">
      <c r="B30" t="s">
        <v>65</v>
      </c>
    </row>
    <row r="31" spans="2:11" x14ac:dyDescent="0.35">
      <c r="B31" t="s">
        <v>179</v>
      </c>
    </row>
    <row r="32" spans="2:11" x14ac:dyDescent="0.35">
      <c r="B32" t="s">
        <v>14</v>
      </c>
    </row>
    <row r="33" spans="2:2" x14ac:dyDescent="0.35">
      <c r="B33" t="s">
        <v>87</v>
      </c>
    </row>
    <row r="34" spans="2:2" x14ac:dyDescent="0.35">
      <c r="B34" t="s">
        <v>15</v>
      </c>
    </row>
    <row r="35" spans="2:2" x14ac:dyDescent="0.35">
      <c r="B35" t="s">
        <v>166</v>
      </c>
    </row>
    <row r="36" spans="2:2" x14ac:dyDescent="0.35">
      <c r="B36" t="s">
        <v>16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03BC2-F2E8-42DF-AEF1-8A37F5440AEC}">
  <sheetPr codeName="Planilha6">
    <tabColor theme="1" tint="0.34998626667073579"/>
  </sheetPr>
  <dimension ref="A1:IN36"/>
  <sheetViews>
    <sheetView topLeftCell="K1" zoomScale="85" zoomScaleNormal="85" workbookViewId="0">
      <selection activeCell="V2" sqref="V2"/>
    </sheetView>
  </sheetViews>
  <sheetFormatPr defaultRowHeight="14.5" x14ac:dyDescent="0.35"/>
  <cols>
    <col min="1" max="1" width="16.1796875" customWidth="1"/>
    <col min="2" max="3" width="23.26953125" bestFit="1" customWidth="1"/>
    <col min="4" max="4" width="20.36328125" bestFit="1" customWidth="1"/>
    <col min="5" max="5" width="22.08984375" bestFit="1" customWidth="1"/>
    <col min="6" max="6" width="24.7265625" bestFit="1" customWidth="1"/>
    <col min="7" max="7" width="21.81640625" bestFit="1" customWidth="1"/>
    <col min="8" max="8" width="24.54296875" bestFit="1" customWidth="1"/>
    <col min="9" max="9" width="25.7265625" customWidth="1"/>
    <col min="10" max="10" width="23.453125" bestFit="1" customWidth="1"/>
    <col min="11" max="11" width="28.7265625" customWidth="1"/>
    <col min="12" max="12" width="18.54296875" bestFit="1" customWidth="1"/>
    <col min="13" max="13" width="21.7265625" bestFit="1" customWidth="1"/>
    <col min="14" max="14" width="19.81640625" bestFit="1" customWidth="1"/>
    <col min="15" max="15" width="18.36328125" bestFit="1" customWidth="1"/>
    <col min="16" max="16" width="21.54296875" bestFit="1" customWidth="1"/>
    <col min="17" max="17" width="26.26953125" bestFit="1" customWidth="1"/>
    <col min="18" max="18" width="25.90625" bestFit="1" customWidth="1"/>
    <col min="19" max="19" width="25.54296875" customWidth="1"/>
    <col min="20" max="20" width="25.453125" customWidth="1"/>
    <col min="21" max="21" width="24.81640625" bestFit="1" customWidth="1"/>
    <col min="22" max="22" width="23.7265625" bestFit="1" customWidth="1"/>
    <col min="23" max="23" width="23.81640625" bestFit="1" customWidth="1"/>
    <col min="24" max="24" width="26.7265625" customWidth="1"/>
    <col min="25" max="25" width="25.453125" customWidth="1"/>
    <col min="26" max="26" width="23.81640625" bestFit="1" customWidth="1"/>
    <col min="27" max="27" width="24.26953125" bestFit="1" customWidth="1"/>
    <col min="28" max="28" width="18.1796875" bestFit="1" customWidth="1"/>
    <col min="29" max="29" width="16.7265625" bestFit="1" customWidth="1"/>
    <col min="30" max="30" width="26.08984375" bestFit="1" customWidth="1"/>
  </cols>
  <sheetData>
    <row r="1" spans="1:248" x14ac:dyDescent="0.35">
      <c r="A1" s="18" t="str" cm="1">
        <f t="array" ref="A1:U1">PQ_Base_Opcoes_Formatada[#Headers]</f>
        <v>ALIMENTACAO</v>
      </c>
      <c r="B1" s="18" t="str">
        <v>ASSINATURA</v>
      </c>
      <c r="C1" s="18" t="str">
        <v>BELEZA_PESSOAL</v>
      </c>
      <c r="D1" s="18" t="str">
        <v>EDUCACAO</v>
      </c>
      <c r="E1" s="18" t="str">
        <v>FINANCEIRO</v>
      </c>
      <c r="F1" s="18" t="str">
        <v>LAZER</v>
      </c>
      <c r="G1" s="18" t="str">
        <v>MORADIA</v>
      </c>
      <c r="H1" s="18" t="str">
        <v>OUTROS</v>
      </c>
      <c r="I1" s="18" t="str">
        <v>PETS</v>
      </c>
      <c r="J1" s="18" t="str">
        <v>RECEITA</v>
      </c>
      <c r="K1" s="18" t="str">
        <v>SAUDE</v>
      </c>
      <c r="L1" s="18" t="str">
        <v>SHOPPING</v>
      </c>
      <c r="M1" s="18" t="str">
        <v>TRANSPORTE</v>
      </c>
      <c r="N1" s="18" t="str">
        <v>CATEGORIA_LANCAMENTO</v>
      </c>
      <c r="O1" s="18" t="str">
        <v>FREQUENCIA</v>
      </c>
      <c r="P1" s="18" t="str">
        <v>METODO_PAGAMENTO</v>
      </c>
      <c r="Q1" s="18" t="str">
        <v>RESPONSAVEL</v>
      </c>
      <c r="R1" s="18" t="str">
        <v>STATUS_GENERICO</v>
      </c>
      <c r="S1" s="18" t="str">
        <v>STATUS_PAGAMENTO</v>
      </c>
      <c r="T1" s="18" t="str">
        <v>TIPO_LANCAMENTO</v>
      </c>
      <c r="U1" s="18" t="str">
        <v>CARTAO_CREDITO</v>
      </c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  <c r="DS1" s="19"/>
      <c r="DT1" s="19"/>
      <c r="DU1" s="19"/>
      <c r="DV1" s="19"/>
      <c r="DW1" s="19"/>
      <c r="DX1" s="19"/>
      <c r="DY1" s="19"/>
      <c r="DZ1" s="19"/>
      <c r="EA1" s="19"/>
      <c r="EB1" s="19"/>
      <c r="EC1" s="19"/>
      <c r="ED1" s="19"/>
      <c r="EE1" s="19"/>
      <c r="EF1" s="19"/>
      <c r="EG1" s="19"/>
      <c r="EH1" s="19"/>
      <c r="EI1" s="19"/>
      <c r="EJ1" s="19"/>
      <c r="EK1" s="19"/>
      <c r="EL1" s="19"/>
      <c r="EM1" s="19"/>
      <c r="EN1" s="19"/>
      <c r="EO1" s="19"/>
      <c r="EP1" s="19"/>
      <c r="EQ1" s="19"/>
      <c r="ER1" s="19"/>
      <c r="ES1" s="19"/>
      <c r="ET1" s="19"/>
      <c r="EU1" s="19"/>
      <c r="EV1" s="19"/>
      <c r="EW1" s="19"/>
      <c r="EX1" s="19"/>
      <c r="EY1" s="19"/>
      <c r="EZ1" s="19"/>
      <c r="FA1" s="19"/>
      <c r="FB1" s="19"/>
      <c r="FC1" s="19"/>
      <c r="FD1" s="19"/>
      <c r="FE1" s="19"/>
      <c r="FF1" s="19"/>
      <c r="FG1" s="19"/>
      <c r="FH1" s="19"/>
      <c r="FI1" s="19"/>
      <c r="FJ1" s="19"/>
      <c r="FK1" s="19"/>
      <c r="FL1" s="19"/>
      <c r="FM1" s="19"/>
      <c r="FN1" s="19"/>
      <c r="FO1" s="19"/>
      <c r="FP1" s="19"/>
      <c r="FQ1" s="19"/>
      <c r="FR1" s="19"/>
      <c r="FS1" s="19"/>
      <c r="FT1" s="19"/>
      <c r="FU1" s="19"/>
      <c r="FV1" s="19"/>
      <c r="FW1" s="19"/>
      <c r="FX1" s="19"/>
      <c r="FY1" s="19"/>
      <c r="FZ1" s="19"/>
      <c r="GA1" s="19"/>
      <c r="GB1" s="19"/>
      <c r="GC1" s="19"/>
      <c r="GD1" s="19"/>
      <c r="GE1" s="19"/>
      <c r="GF1" s="19"/>
      <c r="GG1" s="19"/>
      <c r="GH1" s="19"/>
      <c r="GI1" s="19"/>
      <c r="GJ1" s="19"/>
      <c r="GK1" s="19"/>
      <c r="GL1" s="19"/>
      <c r="GM1" s="19"/>
      <c r="GN1" s="19"/>
      <c r="GO1" s="19"/>
      <c r="GP1" s="19"/>
      <c r="GQ1" s="19"/>
      <c r="GR1" s="19"/>
      <c r="GS1" s="19"/>
      <c r="GT1" s="19"/>
      <c r="GU1" s="19"/>
      <c r="GV1" s="19"/>
      <c r="GW1" s="19"/>
      <c r="GX1" s="19"/>
      <c r="GY1" s="19"/>
      <c r="GZ1" s="19"/>
      <c r="HA1" s="19"/>
      <c r="HB1" s="19"/>
      <c r="HC1" s="19"/>
      <c r="HD1" s="19"/>
      <c r="HE1" s="19"/>
      <c r="HF1" s="19"/>
      <c r="HG1" s="19"/>
      <c r="HH1" s="19"/>
      <c r="HI1" s="19"/>
      <c r="HJ1" s="19"/>
      <c r="HK1" s="19"/>
      <c r="HL1" s="19"/>
      <c r="HM1" s="19"/>
      <c r="HN1" s="19"/>
      <c r="HO1" s="19"/>
      <c r="HP1" s="19"/>
      <c r="HQ1" s="19"/>
      <c r="HR1" s="19"/>
      <c r="HS1" s="19"/>
      <c r="HT1" s="19"/>
      <c r="HU1" s="19"/>
      <c r="HV1" s="19"/>
      <c r="HW1" s="19"/>
      <c r="HX1" s="19"/>
      <c r="HY1" s="19"/>
      <c r="HZ1" s="19"/>
      <c r="IA1" s="19"/>
      <c r="IB1" s="19"/>
      <c r="IC1" s="19"/>
      <c r="ID1" s="19"/>
      <c r="IE1" s="19"/>
      <c r="IF1" s="19"/>
      <c r="IG1" s="19"/>
      <c r="IH1" s="19"/>
      <c r="II1" s="19"/>
      <c r="IJ1" s="19"/>
      <c r="IK1" s="19"/>
      <c r="IL1" s="19"/>
      <c r="IM1" s="19"/>
      <c r="IN1" s="19"/>
    </row>
    <row r="2" spans="1:248" x14ac:dyDescent="0.35">
      <c r="A2" t="str" cm="1">
        <f t="array" aca="1" ref="A2:A13" ca="1">IFERROR(_xlfn.UNIQUE(_xlfn._xlws.FILTER(INDIRECT("PQ_Base_Opcoes_Formatada["&amp;A$1&amp;"]"),INDIRECT("PQ_Base_Opcoes_Formatada["&amp;A$1&amp;"]")&lt;&gt;"")),"")</f>
        <v>ACOUGUE</v>
      </c>
      <c r="B2" t="str" cm="1">
        <f t="array" aca="1" ref="B2:B36" ca="1">IFERROR(_xlfn.UNIQUE(_xlfn._xlws.FILTER(INDIRECT("PQ_Base_Opcoes_Formatada["&amp;B$1&amp;"]"),INDIRECT("PQ_Base_Opcoes_Formatada["&amp;B$1&amp;"]")&lt;&gt;"")),"")</f>
        <v>AMAZON PRIME</v>
      </c>
      <c r="C2" t="str" cm="1">
        <f t="array" aca="1" ref="C2:C10" ca="1">IFERROR(_xlfn.UNIQUE(_xlfn._xlws.FILTER(INDIRECT("PQ_Base_Opcoes_Formatada["&amp;C$1&amp;"]"),INDIRECT("PQ_Base_Opcoes_Formatada["&amp;C$1&amp;"]")&lt;&gt;"")),"")</f>
        <v>BARBEARIA</v>
      </c>
      <c r="D2" t="str" cm="1">
        <f t="array" aca="1" ref="D2:D9" ca="1">IFERROR(_xlfn.UNIQUE(_xlfn._xlws.FILTER(INDIRECT("PQ_Base_Opcoes_Formatada["&amp;D$1&amp;"]"),INDIRECT("PQ_Base_Opcoes_Formatada["&amp;D$1&amp;"]")&lt;&gt;"")),"")</f>
        <v>CURSOS ONLINE</v>
      </c>
      <c r="E2" t="str" cm="1">
        <f t="array" aca="1" ref="E2:E12" ca="1">IFERROR(_xlfn.UNIQUE(_xlfn._xlws.FILTER(INDIRECT("PQ_Base_Opcoes_Formatada["&amp;E$1&amp;"]"),INDIRECT("PQ_Base_Opcoes_Formatada["&amp;E$1&amp;"]")&lt;&gt;"")),"")</f>
        <v>DAS MEI</v>
      </c>
      <c r="F2" t="str" cm="1">
        <f t="array" aca="1" ref="F2:F13" ca="1">IFERROR(_xlfn.UNIQUE(_xlfn._xlws.FILTER(INDIRECT("PQ_Base_Opcoes_Formatada["&amp;F$1&amp;"]"),INDIRECT("PQ_Base_Opcoes_Formatada["&amp;F$1&amp;"]")&lt;&gt;"")),"")</f>
        <v>BALADA</v>
      </c>
      <c r="G2" t="str" cm="1">
        <f t="array" aca="1" ref="G2:G21" ca="1">IFERROR(_xlfn.UNIQUE(_xlfn._xlws.FILTER(INDIRECT("PQ_Base_Opcoes_Formatada["&amp;G$1&amp;"]"),INDIRECT("PQ_Base_Opcoes_Formatada["&amp;G$1&amp;"]")&lt;&gt;"")),"")</f>
        <v>AGUA E ESGOTO</v>
      </c>
      <c r="H2" t="str" cm="1">
        <f t="array" aca="1" ref="H2:H7" ca="1">IFERROR(_xlfn.UNIQUE(_xlfn._xlws.FILTER(INDIRECT("PQ_Base_Opcoes_Formatada["&amp;H$1&amp;"]"),INDIRECT("PQ_Base_Opcoes_Formatada["&amp;H$1&amp;"]")&lt;&gt;"")),"")</f>
        <v>CARTORIO</v>
      </c>
      <c r="I2" t="str" cm="1">
        <f t="array" aca="1" ref="I2:I11" ca="1">IFERROR(_xlfn.UNIQUE(_xlfn._xlws.FILTER(INDIRECT("PQ_Base_Opcoes_Formatada["&amp;I$1&amp;"]"),INDIRECT("PQ_Base_Opcoes_Formatada["&amp;I$1&amp;"]")&lt;&gt;"")),"")</f>
        <v>ADESTRAMENTO</v>
      </c>
      <c r="J2" t="str" cm="1">
        <f t="array" aca="1" ref="J2:J18" ca="1">IFERROR(_xlfn.UNIQUE(_xlfn._xlws.FILTER(INDIRECT("PQ_Base_Opcoes_Formatada["&amp;J$1&amp;"]"),INDIRECT("PQ_Base_Opcoes_Formatada["&amp;J$1&amp;"]")&lt;&gt;"")),"")</f>
        <v>13º SALARIO</v>
      </c>
      <c r="K2" t="str" cm="1">
        <f t="array" aca="1" ref="K2:K20" ca="1">IFERROR(_xlfn.UNIQUE(_xlfn._xlws.FILTER(INDIRECT("PQ_Base_Opcoes_Formatada["&amp;K$1&amp;"]"),INDIRECT("PQ_Base_Opcoes_Formatada["&amp;K$1&amp;"]")&lt;&gt;"")),"")</f>
        <v>ACADEMIA</v>
      </c>
      <c r="L2" t="str" cm="1">
        <f t="array" aca="1" ref="L2:L12" ca="1">IFERROR(_xlfn.UNIQUE(_xlfn._xlws.FILTER(INDIRECT("PQ_Base_Opcoes_Formatada["&amp;L$1&amp;"]"),INDIRECT("PQ_Base_Opcoes_Formatada["&amp;L$1&amp;"]")&lt;&gt;"")),"")</f>
        <v>ACESSORIOS</v>
      </c>
      <c r="M2" t="str" cm="1">
        <f t="array" aca="1" ref="M2:M16" ca="1">IFERROR(_xlfn.UNIQUE(_xlfn._xlws.FILTER(INDIRECT("PQ_Base_Opcoes_Formatada["&amp;M$1&amp;"]"),INDIRECT("PQ_Base_Opcoes_Formatada["&amp;M$1&amp;"]")&lt;&gt;"")),"")</f>
        <v>ALUGUEL DE CARRO</v>
      </c>
      <c r="N2" t="str" cm="1">
        <f t="array" aca="1" ref="N2:N14" ca="1">IFERROR(_xlfn.UNIQUE(_xlfn._xlws.FILTER(INDIRECT("PQ_Base_Opcoes_Formatada["&amp;N$1&amp;"]"),INDIRECT("PQ_Base_Opcoes_Formatada["&amp;N$1&amp;"]")&lt;&gt;"")),"")</f>
        <v>ALIMENTACAO</v>
      </c>
      <c r="O2" t="str" cm="1">
        <f t="array" aca="1" ref="O2:O8" ca="1">IFERROR(_xlfn.UNIQUE(_xlfn._xlws.FILTER(INDIRECT("PQ_Base_Opcoes_Formatada["&amp;O$1&amp;"]"),INDIRECT("PQ_Base_Opcoes_Formatada["&amp;O$1&amp;"]")&lt;&gt;"")),"")</f>
        <v>MENSAL</v>
      </c>
      <c r="P2" t="str" cm="1">
        <f t="array" aca="1" ref="P2:P10" ca="1">IFERROR(_xlfn.UNIQUE(_xlfn._xlws.FILTER(INDIRECT("PQ_Base_Opcoes_Formatada["&amp;P$1&amp;"]"),INDIRECT("PQ_Base_Opcoes_Formatada["&amp;P$1&amp;"]")&lt;&gt;"")),"")</f>
        <v>PIX</v>
      </c>
      <c r="Q2" t="str" cm="1">
        <f t="array" aca="1" ref="Q2:Q5" ca="1">IFERROR(_xlfn.UNIQUE(_xlfn._xlws.FILTER(INDIRECT("PQ_Base_Opcoes_Formatada["&amp;Q$1&amp;"]"),INDIRECT("PQ_Base_Opcoes_Formatada["&amp;Q$1&amp;"]")&lt;&gt;"")),"")</f>
        <v>NANDINHO</v>
      </c>
      <c r="R2" t="str" cm="1">
        <f t="array" aca="1" ref="R2:R3" ca="1">IFERROR(_xlfn.UNIQUE(_xlfn._xlws.FILTER(INDIRECT("PQ_Base_Opcoes_Formatada["&amp;R$1&amp;"]"),INDIRECT("PQ_Base_Opcoes_Formatada["&amp;R$1&amp;"]")&lt;&gt;"")),"")</f>
        <v>ATIVO</v>
      </c>
      <c r="S2" t="str" cm="1">
        <f t="array" aca="1" ref="S2:S6" ca="1">IFERROR(_xlfn.UNIQUE(_xlfn._xlws.FILTER(INDIRECT("PQ_Base_Opcoes_Formatada["&amp;S$1&amp;"]"),INDIRECT("PQ_Base_Opcoes_Formatada["&amp;S$1&amp;"]")&lt;&gt;"")),"")</f>
        <v>PAGO</v>
      </c>
      <c r="T2" t="str" cm="1">
        <f t="array" aca="1" ref="T2:T3" ca="1">IFERROR(_xlfn.UNIQUE(_xlfn._xlws.FILTER(INDIRECT("PQ_Base_Opcoes_Formatada["&amp;T$1&amp;"]"),INDIRECT("PQ_Base_Opcoes_Formatada["&amp;T$1&amp;"]")&lt;&gt;"")),"")</f>
        <v>SAIDA</v>
      </c>
      <c r="U2" t="str" cm="1">
        <f t="array" aca="1" ref="U2" ca="1">IFERROR(_xlfn.UNIQUE(_xlfn._xlws.FILTER(INDIRECT("PQ_Base_Opcoes_Formatada["&amp;U$1&amp;"]"),INDIRECT("PQ_Base_Opcoes_Formatada["&amp;U$1&amp;"]")&lt;&gt;"")),"")</f>
        <v>Nubank Victor</v>
      </c>
      <c r="V2" t="str" cm="1">
        <f t="array" aca="1" ref="V2" ca="1">IFERROR(_xlfn.UNIQUE(_xlfn._xlws.FILTER(INDIRECT("PQ_Base_Opcoes_Formatada["&amp;V$1&amp;"]"),INDIRECT("PQ_Base_Opcoes_Formatada["&amp;V$1&amp;"]")&lt;&gt;"")),"")</f>
        <v/>
      </c>
      <c r="W2" t="str" cm="1">
        <f t="array" aca="1" ref="W2" ca="1">IFERROR(_xlfn.UNIQUE(_xlfn._xlws.FILTER(INDIRECT("PQ_Base_Opcoes_Formatada["&amp;W$1&amp;"]"),INDIRECT("PQ_Base_Opcoes_Formatada["&amp;W$1&amp;"]")&lt;&gt;"")),"")</f>
        <v/>
      </c>
      <c r="X2" t="str" cm="1">
        <f t="array" aca="1" ref="X2" ca="1">IFERROR(_xlfn.UNIQUE(_xlfn._xlws.FILTER(INDIRECT("PQ_Base_Opcoes_Formatada["&amp;X$1&amp;"]"),INDIRECT("PQ_Base_Opcoes_Formatada["&amp;X$1&amp;"]")&lt;&gt;"")),"")</f>
        <v/>
      </c>
      <c r="Y2" t="str" cm="1">
        <f t="array" aca="1" ref="Y2" ca="1">IFERROR(_xlfn.UNIQUE(_xlfn._xlws.FILTER(INDIRECT("PQ_Base_Opcoes_Formatada["&amp;Y$1&amp;"]"),INDIRECT("PQ_Base_Opcoes_Formatada["&amp;Y$1&amp;"]")&lt;&gt;"")),"")</f>
        <v/>
      </c>
      <c r="Z2" t="str" cm="1">
        <f t="array" aca="1" ref="Z2" ca="1">IFERROR(_xlfn.UNIQUE(_xlfn._xlws.FILTER(INDIRECT("PQ_Base_Opcoes_Formatada["&amp;Z$1&amp;"]"),INDIRECT("PQ_Base_Opcoes_Formatada["&amp;Z$1&amp;"]")&lt;&gt;"")),"")</f>
        <v/>
      </c>
      <c r="AA2" t="str" cm="1">
        <f t="array" aca="1" ref="AA2" ca="1">IFERROR(_xlfn.UNIQUE(_xlfn._xlws.FILTER(INDIRECT("PQ_Base_Opcoes_Formatada["&amp;AA$1&amp;"]"),INDIRECT("PQ_Base_Opcoes_Formatada["&amp;AA$1&amp;"]")&lt;&gt;"")),"")</f>
        <v/>
      </c>
      <c r="AB2" t="str" cm="1">
        <f t="array" aca="1" ref="AB2" ca="1">IFERROR(_xlfn.UNIQUE(_xlfn._xlws.FILTER(INDIRECT("PQ_Base_Opcoes_Formatada["&amp;AB$1&amp;"]"),INDIRECT("PQ_Base_Opcoes_Formatada["&amp;AB$1&amp;"]")&lt;&gt;"")),"")</f>
        <v/>
      </c>
      <c r="AC2" t="str" cm="1">
        <f t="array" aca="1" ref="AC2" ca="1">IFERROR(_xlfn.UNIQUE(_xlfn._xlws.FILTER(INDIRECT("PQ_Base_Opcoes_Formatada["&amp;AC$1&amp;"]"),INDIRECT("PQ_Base_Opcoes_Formatada["&amp;AC$1&amp;"]")&lt;&gt;"")),"")</f>
        <v/>
      </c>
      <c r="AD2" t="str" cm="1">
        <f t="array" aca="1" ref="AD2" ca="1">IFERROR(_xlfn.UNIQUE(_xlfn._xlws.FILTER(INDIRECT("PQ_Base_Opcoes_Formatada["&amp;AD$1&amp;"]"),INDIRECT("PQ_Base_Opcoes_Formatada["&amp;AD$1&amp;"]")&lt;&gt;"")),"")</f>
        <v/>
      </c>
      <c r="AE2" t="str" cm="1">
        <f t="array" aca="1" ref="AE2" ca="1">IFERROR(_xlfn.UNIQUE(_xlfn._xlws.FILTER(INDIRECT("PQ_Base_Opcoes_Formatada["&amp;AE$1&amp;"]"),INDIRECT("PQ_Base_Opcoes_Formatada["&amp;AE$1&amp;"]")&lt;&gt;"")),"")</f>
        <v/>
      </c>
      <c r="AF2" t="str" cm="1">
        <f t="array" aca="1" ref="AF2" ca="1">IFERROR(_xlfn.UNIQUE(_xlfn._xlws.FILTER(INDIRECT("PQ_Base_Opcoes_Formatada["&amp;AF$1&amp;"]"),INDIRECT("PQ_Base_Opcoes_Formatada["&amp;AF$1&amp;"]")&lt;&gt;"")),"")</f>
        <v/>
      </c>
      <c r="AG2" t="str" cm="1">
        <f t="array" aca="1" ref="AG2" ca="1">IFERROR(_xlfn.UNIQUE(_xlfn._xlws.FILTER(INDIRECT("PQ_Base_Opcoes_Formatada["&amp;AG$1&amp;"]"),INDIRECT("PQ_Base_Opcoes_Formatada["&amp;AG$1&amp;"]")&lt;&gt;"")),"")</f>
        <v/>
      </c>
      <c r="AH2" t="str" cm="1">
        <f t="array" aca="1" ref="AH2" ca="1">IFERROR(_xlfn.UNIQUE(_xlfn._xlws.FILTER(INDIRECT("PQ_Base_Opcoes_Formatada["&amp;AH$1&amp;"]"),INDIRECT("PQ_Base_Opcoes_Formatada["&amp;AH$1&amp;"]")&lt;&gt;"")),"")</f>
        <v/>
      </c>
      <c r="AI2" t="str" cm="1">
        <f t="array" aca="1" ref="AI2" ca="1">IFERROR(_xlfn.UNIQUE(_xlfn._xlws.FILTER(INDIRECT("PQ_Base_Opcoes_Formatada["&amp;AI$1&amp;"]"),INDIRECT("PQ_Base_Opcoes_Formatada["&amp;AI$1&amp;"]")&lt;&gt;"")),"")</f>
        <v/>
      </c>
      <c r="AJ2" t="str" cm="1">
        <f t="array" aca="1" ref="AJ2" ca="1">IFERROR(_xlfn.UNIQUE(_xlfn._xlws.FILTER(INDIRECT("PQ_Base_Opcoes_Formatada["&amp;AJ$1&amp;"]"),INDIRECT("PQ_Base_Opcoes_Formatada["&amp;AJ$1&amp;"]")&lt;&gt;"")),"")</f>
        <v/>
      </c>
      <c r="AK2" t="str" cm="1">
        <f t="array" aca="1" ref="AK2" ca="1">IFERROR(_xlfn.UNIQUE(_xlfn._xlws.FILTER(INDIRECT("PQ_Base_Opcoes_Formatada["&amp;AK$1&amp;"]"),INDIRECT("PQ_Base_Opcoes_Formatada["&amp;AK$1&amp;"]")&lt;&gt;"")),"")</f>
        <v/>
      </c>
      <c r="AL2" t="str" cm="1">
        <f t="array" aca="1" ref="AL2" ca="1">IFERROR(_xlfn.UNIQUE(_xlfn._xlws.FILTER(INDIRECT("PQ_Base_Opcoes_Formatada["&amp;AL$1&amp;"]"),INDIRECT("PQ_Base_Opcoes_Formatada["&amp;AL$1&amp;"]")&lt;&gt;"")),"")</f>
        <v/>
      </c>
      <c r="AM2" t="str" cm="1">
        <f t="array" aca="1" ref="AM2" ca="1">IFERROR(_xlfn.UNIQUE(_xlfn._xlws.FILTER(INDIRECT("PQ_Base_Opcoes_Formatada["&amp;AM$1&amp;"]"),INDIRECT("PQ_Base_Opcoes_Formatada["&amp;AM$1&amp;"]")&lt;&gt;"")),"")</f>
        <v/>
      </c>
      <c r="AN2" t="str" cm="1">
        <f t="array" aca="1" ref="AN2" ca="1">IFERROR(_xlfn.UNIQUE(_xlfn._xlws.FILTER(INDIRECT("PQ_Base_Opcoes_Formatada["&amp;AN$1&amp;"]"),INDIRECT("PQ_Base_Opcoes_Formatada["&amp;AN$1&amp;"]")&lt;&gt;"")),"")</f>
        <v/>
      </c>
      <c r="AO2" t="str" cm="1">
        <f t="array" aca="1" ref="AO2" ca="1">IFERROR(_xlfn.UNIQUE(_xlfn._xlws.FILTER(INDIRECT("PQ_Base_Opcoes_Formatada["&amp;AO$1&amp;"]"),INDIRECT("PQ_Base_Opcoes_Formatada["&amp;AO$1&amp;"]")&lt;&gt;"")),"")</f>
        <v/>
      </c>
      <c r="AP2" t="str" cm="1">
        <f t="array" aca="1" ref="AP2" ca="1">IFERROR(_xlfn.UNIQUE(_xlfn._xlws.FILTER(INDIRECT("PQ_Base_Opcoes_Formatada["&amp;AP$1&amp;"]"),INDIRECT("PQ_Base_Opcoes_Formatada["&amp;AP$1&amp;"]")&lt;&gt;"")),"")</f>
        <v/>
      </c>
      <c r="AQ2" t="str" cm="1">
        <f t="array" aca="1" ref="AQ2" ca="1">IFERROR(_xlfn.UNIQUE(_xlfn._xlws.FILTER(INDIRECT("PQ_Base_Opcoes_Formatada["&amp;AQ$1&amp;"]"),INDIRECT("PQ_Base_Opcoes_Formatada["&amp;AQ$1&amp;"]")&lt;&gt;"")),"")</f>
        <v/>
      </c>
      <c r="AR2" t="str" cm="1">
        <f t="array" aca="1" ref="AR2" ca="1">IFERROR(_xlfn.UNIQUE(_xlfn._xlws.FILTER(INDIRECT("PQ_Base_Opcoes_Formatada["&amp;AR$1&amp;"]"),INDIRECT("PQ_Base_Opcoes_Formatada["&amp;AR$1&amp;"]")&lt;&gt;"")),"")</f>
        <v/>
      </c>
      <c r="AS2" t="str" cm="1">
        <f t="array" aca="1" ref="AS2" ca="1">IFERROR(_xlfn.UNIQUE(_xlfn._xlws.FILTER(INDIRECT("PQ_Base_Opcoes_Formatada["&amp;AS$1&amp;"]"),INDIRECT("PQ_Base_Opcoes_Formatada["&amp;AS$1&amp;"]")&lt;&gt;"")),"")</f>
        <v/>
      </c>
      <c r="AT2" t="str" cm="1">
        <f t="array" aca="1" ref="AT2" ca="1">IFERROR(_xlfn.UNIQUE(_xlfn._xlws.FILTER(INDIRECT("PQ_Base_Opcoes_Formatada["&amp;AT$1&amp;"]"),INDIRECT("PQ_Base_Opcoes_Formatada["&amp;AT$1&amp;"]")&lt;&gt;"")),"")</f>
        <v/>
      </c>
      <c r="AU2" t="str" cm="1">
        <f t="array" aca="1" ref="AU2" ca="1">IFERROR(_xlfn.UNIQUE(_xlfn._xlws.FILTER(INDIRECT("PQ_Base_Opcoes_Formatada["&amp;AU$1&amp;"]"),INDIRECT("PQ_Base_Opcoes_Formatada["&amp;AU$1&amp;"]")&lt;&gt;"")),"")</f>
        <v/>
      </c>
      <c r="AV2" t="str" cm="1">
        <f t="array" aca="1" ref="AV2" ca="1">IFERROR(_xlfn.UNIQUE(_xlfn._xlws.FILTER(INDIRECT("PQ_Base_Opcoes_Formatada["&amp;AV$1&amp;"]"),INDIRECT("PQ_Base_Opcoes_Formatada["&amp;AV$1&amp;"]")&lt;&gt;"")),"")</f>
        <v/>
      </c>
      <c r="AW2" t="str" cm="1">
        <f t="array" aca="1" ref="AW2" ca="1">IFERROR(_xlfn.UNIQUE(_xlfn._xlws.FILTER(INDIRECT("PQ_Base_Opcoes_Formatada["&amp;AW$1&amp;"]"),INDIRECT("PQ_Base_Opcoes_Formatada["&amp;AW$1&amp;"]")&lt;&gt;"")),"")</f>
        <v/>
      </c>
      <c r="AX2" t="str" cm="1">
        <f t="array" aca="1" ref="AX2" ca="1">IFERROR(_xlfn.UNIQUE(_xlfn._xlws.FILTER(INDIRECT("PQ_Base_Opcoes_Formatada["&amp;AX$1&amp;"]"),INDIRECT("PQ_Base_Opcoes_Formatada["&amp;AX$1&amp;"]")&lt;&gt;"")),"")</f>
        <v/>
      </c>
      <c r="AY2" t="str" cm="1">
        <f t="array" aca="1" ref="AY2" ca="1">IFERROR(_xlfn.UNIQUE(_xlfn._xlws.FILTER(INDIRECT("PQ_Base_Opcoes_Formatada["&amp;AY$1&amp;"]"),INDIRECT("PQ_Base_Opcoes_Formatada["&amp;AY$1&amp;"]")&lt;&gt;"")),"")</f>
        <v/>
      </c>
      <c r="AZ2" t="str" cm="1">
        <f t="array" aca="1" ref="AZ2" ca="1">IFERROR(_xlfn.UNIQUE(_xlfn._xlws.FILTER(INDIRECT("PQ_Base_Opcoes_Formatada["&amp;AZ$1&amp;"]"),INDIRECT("PQ_Base_Opcoes_Formatada["&amp;AZ$1&amp;"]")&lt;&gt;"")),"")</f>
        <v/>
      </c>
      <c r="BA2" t="str" cm="1">
        <f t="array" aca="1" ref="BA2" ca="1">IFERROR(_xlfn.UNIQUE(_xlfn._xlws.FILTER(INDIRECT("PQ_Base_Opcoes_Formatada["&amp;BA$1&amp;"]"),INDIRECT("PQ_Base_Opcoes_Formatada["&amp;BA$1&amp;"]")&lt;&gt;"")),"")</f>
        <v/>
      </c>
      <c r="BB2" t="str" cm="1">
        <f t="array" aca="1" ref="BB2" ca="1">IFERROR(_xlfn.UNIQUE(_xlfn._xlws.FILTER(INDIRECT("PQ_Base_Opcoes_Formatada["&amp;BB$1&amp;"]"),INDIRECT("PQ_Base_Opcoes_Formatada["&amp;BB$1&amp;"]")&lt;&gt;"")),"")</f>
        <v/>
      </c>
      <c r="BC2" t="str" cm="1">
        <f t="array" aca="1" ref="BC2" ca="1">IFERROR(_xlfn.UNIQUE(_xlfn._xlws.FILTER(INDIRECT("PQ_Base_Opcoes_Formatada["&amp;BC$1&amp;"]"),INDIRECT("PQ_Base_Opcoes_Formatada["&amp;BC$1&amp;"]")&lt;&gt;"")),"")</f>
        <v/>
      </c>
      <c r="BD2" t="str" cm="1">
        <f t="array" aca="1" ref="BD2" ca="1">IFERROR(_xlfn.UNIQUE(_xlfn._xlws.FILTER(INDIRECT("PQ_Base_Opcoes_Formatada["&amp;BD$1&amp;"]"),INDIRECT("PQ_Base_Opcoes_Formatada["&amp;BD$1&amp;"]")&lt;&gt;"")),"")</f>
        <v/>
      </c>
      <c r="BE2" t="str" cm="1">
        <f t="array" aca="1" ref="BE2" ca="1">IFERROR(_xlfn.UNIQUE(_xlfn._xlws.FILTER(INDIRECT("PQ_Base_Opcoes_Formatada["&amp;BE$1&amp;"]"),INDIRECT("PQ_Base_Opcoes_Formatada["&amp;BE$1&amp;"]")&lt;&gt;"")),"")</f>
        <v/>
      </c>
      <c r="BF2" t="str" cm="1">
        <f t="array" aca="1" ref="BF2" ca="1">IFERROR(_xlfn.UNIQUE(_xlfn._xlws.FILTER(INDIRECT("PQ_Base_Opcoes_Formatada["&amp;BF$1&amp;"]"),INDIRECT("PQ_Base_Opcoes_Formatada["&amp;BF$1&amp;"]")&lt;&gt;"")),"")</f>
        <v/>
      </c>
      <c r="BG2" t="str" cm="1">
        <f t="array" aca="1" ref="BG2" ca="1">IFERROR(_xlfn.UNIQUE(_xlfn._xlws.FILTER(INDIRECT("PQ_Base_Opcoes_Formatada["&amp;BG$1&amp;"]"),INDIRECT("PQ_Base_Opcoes_Formatada["&amp;BG$1&amp;"]")&lt;&gt;"")),"")</f>
        <v/>
      </c>
      <c r="BH2" t="str" cm="1">
        <f t="array" aca="1" ref="BH2" ca="1">IFERROR(_xlfn.UNIQUE(_xlfn._xlws.FILTER(INDIRECT("PQ_Base_Opcoes_Formatada["&amp;BH$1&amp;"]"),INDIRECT("PQ_Base_Opcoes_Formatada["&amp;BH$1&amp;"]")&lt;&gt;"")),"")</f>
        <v/>
      </c>
      <c r="BI2" t="str" cm="1">
        <f t="array" aca="1" ref="BI2" ca="1">IFERROR(_xlfn.UNIQUE(_xlfn._xlws.FILTER(INDIRECT("PQ_Base_Opcoes_Formatada["&amp;BI$1&amp;"]"),INDIRECT("PQ_Base_Opcoes_Formatada["&amp;BI$1&amp;"]")&lt;&gt;"")),"")</f>
        <v/>
      </c>
      <c r="BJ2" t="str" cm="1">
        <f t="array" aca="1" ref="BJ2" ca="1">IFERROR(_xlfn.UNIQUE(_xlfn._xlws.FILTER(INDIRECT("PQ_Base_Opcoes_Formatada["&amp;BJ$1&amp;"]"),INDIRECT("PQ_Base_Opcoes_Formatada["&amp;BJ$1&amp;"]")&lt;&gt;"")),"")</f>
        <v/>
      </c>
      <c r="BK2" t="str" cm="1">
        <f t="array" aca="1" ref="BK2" ca="1">IFERROR(_xlfn.UNIQUE(_xlfn._xlws.FILTER(INDIRECT("PQ_Base_Opcoes_Formatada["&amp;BK$1&amp;"]"),INDIRECT("PQ_Base_Opcoes_Formatada["&amp;BK$1&amp;"]")&lt;&gt;"")),"")</f>
        <v/>
      </c>
      <c r="BL2" t="str" cm="1">
        <f t="array" aca="1" ref="BL2" ca="1">IFERROR(_xlfn.UNIQUE(_xlfn._xlws.FILTER(INDIRECT("PQ_Base_Opcoes_Formatada["&amp;BL$1&amp;"]"),INDIRECT("PQ_Base_Opcoes_Formatada["&amp;BL$1&amp;"]")&lt;&gt;"")),"")</f>
        <v/>
      </c>
      <c r="BM2" t="str" cm="1">
        <f t="array" aca="1" ref="BM2" ca="1">IFERROR(_xlfn.UNIQUE(_xlfn._xlws.FILTER(INDIRECT("PQ_Base_Opcoes_Formatada["&amp;BM$1&amp;"]"),INDIRECT("PQ_Base_Opcoes_Formatada["&amp;BM$1&amp;"]")&lt;&gt;"")),"")</f>
        <v/>
      </c>
      <c r="BN2" t="str" cm="1">
        <f t="array" aca="1" ref="BN2" ca="1">IFERROR(_xlfn.UNIQUE(_xlfn._xlws.FILTER(INDIRECT("PQ_Base_Opcoes_Formatada["&amp;BN$1&amp;"]"),INDIRECT("PQ_Base_Opcoes_Formatada["&amp;BN$1&amp;"]")&lt;&gt;"")),"")</f>
        <v/>
      </c>
      <c r="BO2" t="str" cm="1">
        <f t="array" aca="1" ref="BO2" ca="1">IFERROR(_xlfn.UNIQUE(_xlfn._xlws.FILTER(INDIRECT("PQ_Base_Opcoes_Formatada["&amp;BO$1&amp;"]"),INDIRECT("PQ_Base_Opcoes_Formatada["&amp;BO$1&amp;"]")&lt;&gt;"")),"")</f>
        <v/>
      </c>
      <c r="BP2" t="str" cm="1">
        <f t="array" aca="1" ref="BP2" ca="1">IFERROR(_xlfn.UNIQUE(_xlfn._xlws.FILTER(INDIRECT("PQ_Base_Opcoes_Formatada["&amp;BP$1&amp;"]"),INDIRECT("PQ_Base_Opcoes_Formatada["&amp;BP$1&amp;"]")&lt;&gt;"")),"")</f>
        <v/>
      </c>
      <c r="BQ2" t="str" cm="1">
        <f t="array" aca="1" ref="BQ2" ca="1">IFERROR(_xlfn.UNIQUE(_xlfn._xlws.FILTER(INDIRECT("PQ_Base_Opcoes_Formatada["&amp;BQ$1&amp;"]"),INDIRECT("PQ_Base_Opcoes_Formatada["&amp;BQ$1&amp;"]")&lt;&gt;"")),"")</f>
        <v/>
      </c>
      <c r="BR2" t="str" cm="1">
        <f t="array" aca="1" ref="BR2" ca="1">IFERROR(_xlfn.UNIQUE(_xlfn._xlws.FILTER(INDIRECT("PQ_Base_Opcoes_Formatada["&amp;BR$1&amp;"]"),INDIRECT("PQ_Base_Opcoes_Formatada["&amp;BR$1&amp;"]")&lt;&gt;"")),"")</f>
        <v/>
      </c>
      <c r="BS2" t="str" cm="1">
        <f t="array" aca="1" ref="BS2" ca="1">IFERROR(_xlfn.UNIQUE(_xlfn._xlws.FILTER(INDIRECT("PQ_Base_Opcoes_Formatada["&amp;BS$1&amp;"]"),INDIRECT("PQ_Base_Opcoes_Formatada["&amp;BS$1&amp;"]")&lt;&gt;"")),"")</f>
        <v/>
      </c>
      <c r="BT2" t="str" cm="1">
        <f t="array" aca="1" ref="BT2" ca="1">IFERROR(_xlfn.UNIQUE(_xlfn._xlws.FILTER(INDIRECT("PQ_Base_Opcoes_Formatada["&amp;BT$1&amp;"]"),INDIRECT("PQ_Base_Opcoes_Formatada["&amp;BT$1&amp;"]")&lt;&gt;"")),"")</f>
        <v/>
      </c>
      <c r="BU2" t="str" cm="1">
        <f t="array" aca="1" ref="BU2" ca="1">IFERROR(_xlfn.UNIQUE(_xlfn._xlws.FILTER(INDIRECT("PQ_Base_Opcoes_Formatada["&amp;BU$1&amp;"]"),INDIRECT("PQ_Base_Opcoes_Formatada["&amp;BU$1&amp;"]")&lt;&gt;"")),"")</f>
        <v/>
      </c>
      <c r="BV2" t="str" cm="1">
        <f t="array" aca="1" ref="BV2" ca="1">IFERROR(_xlfn.UNIQUE(_xlfn._xlws.FILTER(INDIRECT("PQ_Base_Opcoes_Formatada["&amp;BV$1&amp;"]"),INDIRECT("PQ_Base_Opcoes_Formatada["&amp;BV$1&amp;"]")&lt;&gt;"")),"")</f>
        <v/>
      </c>
      <c r="BW2" t="str" cm="1">
        <f t="array" aca="1" ref="BW2" ca="1">IFERROR(_xlfn.UNIQUE(_xlfn._xlws.FILTER(INDIRECT("PQ_Base_Opcoes_Formatada["&amp;BW$1&amp;"]"),INDIRECT("PQ_Base_Opcoes_Formatada["&amp;BW$1&amp;"]")&lt;&gt;"")),"")</f>
        <v/>
      </c>
      <c r="BX2" t="str" cm="1">
        <f t="array" aca="1" ref="BX2" ca="1">IFERROR(_xlfn.UNIQUE(_xlfn._xlws.FILTER(INDIRECT("PQ_Base_Opcoes_Formatada["&amp;BX$1&amp;"]"),INDIRECT("PQ_Base_Opcoes_Formatada["&amp;BX$1&amp;"]")&lt;&gt;"")),"")</f>
        <v/>
      </c>
      <c r="BY2" t="str" cm="1">
        <f t="array" aca="1" ref="BY2" ca="1">IFERROR(_xlfn.UNIQUE(_xlfn._xlws.FILTER(INDIRECT("PQ_Base_Opcoes_Formatada["&amp;BY$1&amp;"]"),INDIRECT("PQ_Base_Opcoes_Formatada["&amp;BY$1&amp;"]")&lt;&gt;"")),"")</f>
        <v/>
      </c>
      <c r="BZ2" t="str" cm="1">
        <f t="array" aca="1" ref="BZ2" ca="1">IFERROR(_xlfn.UNIQUE(_xlfn._xlws.FILTER(INDIRECT("PQ_Base_Opcoes_Formatada["&amp;BZ$1&amp;"]"),INDIRECT("PQ_Base_Opcoes_Formatada["&amp;BZ$1&amp;"]")&lt;&gt;"")),"")</f>
        <v/>
      </c>
      <c r="CA2" t="str" cm="1">
        <f t="array" aca="1" ref="CA2" ca="1">IFERROR(_xlfn.UNIQUE(_xlfn._xlws.FILTER(INDIRECT("PQ_Base_Opcoes_Formatada["&amp;CA$1&amp;"]"),INDIRECT("PQ_Base_Opcoes_Formatada["&amp;CA$1&amp;"]")&lt;&gt;"")),"")</f>
        <v/>
      </c>
      <c r="CB2" t="str" cm="1">
        <f t="array" aca="1" ref="CB2" ca="1">IFERROR(_xlfn.UNIQUE(_xlfn._xlws.FILTER(INDIRECT("PQ_Base_Opcoes_Formatada["&amp;CB$1&amp;"]"),INDIRECT("PQ_Base_Opcoes_Formatada["&amp;CB$1&amp;"]")&lt;&gt;"")),"")</f>
        <v/>
      </c>
      <c r="CC2" t="str" cm="1">
        <f t="array" aca="1" ref="CC2" ca="1">IFERROR(_xlfn.UNIQUE(_xlfn._xlws.FILTER(INDIRECT("PQ_Base_Opcoes_Formatada["&amp;CC$1&amp;"]"),INDIRECT("PQ_Base_Opcoes_Formatada["&amp;CC$1&amp;"]")&lt;&gt;"")),"")</f>
        <v/>
      </c>
      <c r="CD2" t="str" cm="1">
        <f t="array" aca="1" ref="CD2" ca="1">IFERROR(_xlfn.UNIQUE(_xlfn._xlws.FILTER(INDIRECT("PQ_Base_Opcoes_Formatada["&amp;CD$1&amp;"]"),INDIRECT("PQ_Base_Opcoes_Formatada["&amp;CD$1&amp;"]")&lt;&gt;"")),"")</f>
        <v/>
      </c>
      <c r="CE2" t="str" cm="1">
        <f t="array" aca="1" ref="CE2" ca="1">IFERROR(_xlfn.UNIQUE(_xlfn._xlws.FILTER(INDIRECT("PQ_Base_Opcoes_Formatada["&amp;CE$1&amp;"]"),INDIRECT("PQ_Base_Opcoes_Formatada["&amp;CE$1&amp;"]")&lt;&gt;"")),"")</f>
        <v/>
      </c>
      <c r="CF2" t="str" cm="1">
        <f t="array" aca="1" ref="CF2" ca="1">IFERROR(_xlfn.UNIQUE(_xlfn._xlws.FILTER(INDIRECT("PQ_Base_Opcoes_Formatada["&amp;CF$1&amp;"]"),INDIRECT("PQ_Base_Opcoes_Formatada["&amp;CF$1&amp;"]")&lt;&gt;"")),"")</f>
        <v/>
      </c>
      <c r="CG2" t="str" cm="1">
        <f t="array" aca="1" ref="CG2" ca="1">IFERROR(_xlfn.UNIQUE(_xlfn._xlws.FILTER(INDIRECT("PQ_Base_Opcoes_Formatada["&amp;CG$1&amp;"]"),INDIRECT("PQ_Base_Opcoes_Formatada["&amp;CG$1&amp;"]")&lt;&gt;"")),"")</f>
        <v/>
      </c>
      <c r="CH2" t="str" cm="1">
        <f t="array" aca="1" ref="CH2" ca="1">IFERROR(_xlfn.UNIQUE(_xlfn._xlws.FILTER(INDIRECT("PQ_Base_Opcoes_Formatada["&amp;CH$1&amp;"]"),INDIRECT("PQ_Base_Opcoes_Formatada["&amp;CH$1&amp;"]")&lt;&gt;"")),"")</f>
        <v/>
      </c>
      <c r="CI2" t="str" cm="1">
        <f t="array" aca="1" ref="CI2" ca="1">IFERROR(_xlfn.UNIQUE(_xlfn._xlws.FILTER(INDIRECT("PQ_Base_Opcoes_Formatada["&amp;CI$1&amp;"]"),INDIRECT("PQ_Base_Opcoes_Formatada["&amp;CI$1&amp;"]")&lt;&gt;"")),"")</f>
        <v/>
      </c>
      <c r="CJ2" t="str" cm="1">
        <f t="array" aca="1" ref="CJ2" ca="1">IFERROR(_xlfn.UNIQUE(_xlfn._xlws.FILTER(INDIRECT("PQ_Base_Opcoes_Formatada["&amp;CJ$1&amp;"]"),INDIRECT("PQ_Base_Opcoes_Formatada["&amp;CJ$1&amp;"]")&lt;&gt;"")),"")</f>
        <v/>
      </c>
      <c r="CK2" t="str" cm="1">
        <f t="array" aca="1" ref="CK2" ca="1">IFERROR(_xlfn.UNIQUE(_xlfn._xlws.FILTER(INDIRECT("PQ_Base_Opcoes_Formatada["&amp;CK$1&amp;"]"),INDIRECT("PQ_Base_Opcoes_Formatada["&amp;CK$1&amp;"]")&lt;&gt;"")),"")</f>
        <v/>
      </c>
      <c r="CL2" t="str" cm="1">
        <f t="array" aca="1" ref="CL2" ca="1">IFERROR(_xlfn.UNIQUE(_xlfn._xlws.FILTER(INDIRECT("PQ_Base_Opcoes_Formatada["&amp;CL$1&amp;"]"),INDIRECT("PQ_Base_Opcoes_Formatada["&amp;CL$1&amp;"]")&lt;&gt;"")),"")</f>
        <v/>
      </c>
      <c r="CM2" t="str" cm="1">
        <f t="array" aca="1" ref="CM2" ca="1">IFERROR(_xlfn.UNIQUE(_xlfn._xlws.FILTER(INDIRECT("PQ_Base_Opcoes_Formatada["&amp;CM$1&amp;"]"),INDIRECT("PQ_Base_Opcoes_Formatada["&amp;CM$1&amp;"]")&lt;&gt;"")),"")</f>
        <v/>
      </c>
      <c r="CN2" t="str" cm="1">
        <f t="array" aca="1" ref="CN2" ca="1">IFERROR(_xlfn.UNIQUE(_xlfn._xlws.FILTER(INDIRECT("PQ_Base_Opcoes_Formatada["&amp;CN$1&amp;"]"),INDIRECT("PQ_Base_Opcoes_Formatada["&amp;CN$1&amp;"]")&lt;&gt;"")),"")</f>
        <v/>
      </c>
      <c r="CO2" t="str" cm="1">
        <f t="array" aca="1" ref="CO2" ca="1">IFERROR(_xlfn.UNIQUE(_xlfn._xlws.FILTER(INDIRECT("PQ_Base_Opcoes_Formatada["&amp;CO$1&amp;"]"),INDIRECT("PQ_Base_Opcoes_Formatada["&amp;CO$1&amp;"]")&lt;&gt;"")),"")</f>
        <v/>
      </c>
      <c r="CP2" t="str" cm="1">
        <f t="array" aca="1" ref="CP2" ca="1">IFERROR(_xlfn.UNIQUE(_xlfn._xlws.FILTER(INDIRECT("PQ_Base_Opcoes_Formatada["&amp;CP$1&amp;"]"),INDIRECT("PQ_Base_Opcoes_Formatada["&amp;CP$1&amp;"]")&lt;&gt;"")),"")</f>
        <v/>
      </c>
      <c r="CQ2" t="str" cm="1">
        <f t="array" aca="1" ref="CQ2" ca="1">IFERROR(_xlfn.UNIQUE(_xlfn._xlws.FILTER(INDIRECT("PQ_Base_Opcoes_Formatada["&amp;CQ$1&amp;"]"),INDIRECT("PQ_Base_Opcoes_Formatada["&amp;CQ$1&amp;"]")&lt;&gt;"")),"")</f>
        <v/>
      </c>
      <c r="CR2" t="str" cm="1">
        <f t="array" aca="1" ref="CR2" ca="1">IFERROR(_xlfn.UNIQUE(_xlfn._xlws.FILTER(INDIRECT("PQ_Base_Opcoes_Formatada["&amp;CR$1&amp;"]"),INDIRECT("PQ_Base_Opcoes_Formatada["&amp;CR$1&amp;"]")&lt;&gt;"")),"")</f>
        <v/>
      </c>
      <c r="CS2" t="str" cm="1">
        <f t="array" aca="1" ref="CS2" ca="1">IFERROR(_xlfn.UNIQUE(_xlfn._xlws.FILTER(INDIRECT("PQ_Base_Opcoes_Formatada["&amp;CS$1&amp;"]"),INDIRECT("PQ_Base_Opcoes_Formatada["&amp;CS$1&amp;"]")&lt;&gt;"")),"")</f>
        <v/>
      </c>
      <c r="CT2" t="str" cm="1">
        <f t="array" aca="1" ref="CT2" ca="1">IFERROR(_xlfn.UNIQUE(_xlfn._xlws.FILTER(INDIRECT("PQ_Base_Opcoes_Formatada["&amp;CT$1&amp;"]"),INDIRECT("PQ_Base_Opcoes_Formatada["&amp;CT$1&amp;"]")&lt;&gt;"")),"")</f>
        <v/>
      </c>
      <c r="CU2" t="str" cm="1">
        <f t="array" aca="1" ref="CU2" ca="1">IFERROR(_xlfn.UNIQUE(_xlfn._xlws.FILTER(INDIRECT("PQ_Base_Opcoes_Formatada["&amp;CU$1&amp;"]"),INDIRECT("PQ_Base_Opcoes_Formatada["&amp;CU$1&amp;"]")&lt;&gt;"")),"")</f>
        <v/>
      </c>
      <c r="CV2" t="str" cm="1">
        <f t="array" aca="1" ref="CV2" ca="1">IFERROR(_xlfn.UNIQUE(_xlfn._xlws.FILTER(INDIRECT("PQ_Base_Opcoes_Formatada["&amp;CV$1&amp;"]"),INDIRECT("PQ_Base_Opcoes_Formatada["&amp;CV$1&amp;"]")&lt;&gt;"")),"")</f>
        <v/>
      </c>
      <c r="CW2" t="str" cm="1">
        <f t="array" aca="1" ref="CW2" ca="1">IFERROR(_xlfn.UNIQUE(_xlfn._xlws.FILTER(INDIRECT("PQ_Base_Opcoes_Formatada["&amp;CW$1&amp;"]"),INDIRECT("PQ_Base_Opcoes_Formatada["&amp;CW$1&amp;"]")&lt;&gt;"")),"")</f>
        <v/>
      </c>
      <c r="CX2" t="str" cm="1">
        <f t="array" aca="1" ref="CX2" ca="1">IFERROR(_xlfn.UNIQUE(_xlfn._xlws.FILTER(INDIRECT("PQ_Base_Opcoes_Formatada["&amp;CX$1&amp;"]"),INDIRECT("PQ_Base_Opcoes_Formatada["&amp;CX$1&amp;"]")&lt;&gt;"")),"")</f>
        <v/>
      </c>
      <c r="CY2" t="str" cm="1">
        <f t="array" aca="1" ref="CY2" ca="1">IFERROR(_xlfn.UNIQUE(_xlfn._xlws.FILTER(INDIRECT("PQ_Base_Opcoes_Formatada["&amp;CY$1&amp;"]"),INDIRECT("PQ_Base_Opcoes_Formatada["&amp;CY$1&amp;"]")&lt;&gt;"")),"")</f>
        <v/>
      </c>
      <c r="CZ2" t="str" cm="1">
        <f t="array" aca="1" ref="CZ2" ca="1">IFERROR(_xlfn.UNIQUE(_xlfn._xlws.FILTER(INDIRECT("PQ_Base_Opcoes_Formatada["&amp;CZ$1&amp;"]"),INDIRECT("PQ_Base_Opcoes_Formatada["&amp;CZ$1&amp;"]")&lt;&gt;"")),"")</f>
        <v/>
      </c>
      <c r="DA2" t="str" cm="1">
        <f t="array" aca="1" ref="DA2" ca="1">IFERROR(_xlfn.UNIQUE(_xlfn._xlws.FILTER(INDIRECT("PQ_Base_Opcoes_Formatada["&amp;DA$1&amp;"]"),INDIRECT("PQ_Base_Opcoes_Formatada["&amp;DA$1&amp;"]")&lt;&gt;"")),"")</f>
        <v/>
      </c>
      <c r="DB2" t="str" cm="1">
        <f t="array" aca="1" ref="DB2" ca="1">IFERROR(_xlfn.UNIQUE(_xlfn._xlws.FILTER(INDIRECT("PQ_Base_Opcoes_Formatada["&amp;DB$1&amp;"]"),INDIRECT("PQ_Base_Opcoes_Formatada["&amp;DB$1&amp;"]")&lt;&gt;"")),"")</f>
        <v/>
      </c>
      <c r="DC2" t="str" cm="1">
        <f t="array" aca="1" ref="DC2" ca="1">IFERROR(_xlfn.UNIQUE(_xlfn._xlws.FILTER(INDIRECT("PQ_Base_Opcoes_Formatada["&amp;DC$1&amp;"]"),INDIRECT("PQ_Base_Opcoes_Formatada["&amp;DC$1&amp;"]")&lt;&gt;"")),"")</f>
        <v/>
      </c>
      <c r="DD2" t="str" cm="1">
        <f t="array" aca="1" ref="DD2" ca="1">IFERROR(_xlfn.UNIQUE(_xlfn._xlws.FILTER(INDIRECT("PQ_Base_Opcoes_Formatada["&amp;DD$1&amp;"]"),INDIRECT("PQ_Base_Opcoes_Formatada["&amp;DD$1&amp;"]")&lt;&gt;"")),"")</f>
        <v/>
      </c>
      <c r="DE2" t="str" cm="1">
        <f t="array" aca="1" ref="DE2" ca="1">IFERROR(_xlfn.UNIQUE(_xlfn._xlws.FILTER(INDIRECT("PQ_Base_Opcoes_Formatada["&amp;DE$1&amp;"]"),INDIRECT("PQ_Base_Opcoes_Formatada["&amp;DE$1&amp;"]")&lt;&gt;"")),"")</f>
        <v/>
      </c>
      <c r="DF2" t="str" cm="1">
        <f t="array" aca="1" ref="DF2" ca="1">IFERROR(_xlfn.UNIQUE(_xlfn._xlws.FILTER(INDIRECT("PQ_Base_Opcoes_Formatada["&amp;DF$1&amp;"]"),INDIRECT("PQ_Base_Opcoes_Formatada["&amp;DF$1&amp;"]")&lt;&gt;"")),"")</f>
        <v/>
      </c>
      <c r="DG2" t="str" cm="1">
        <f t="array" aca="1" ref="DG2" ca="1">IFERROR(_xlfn.UNIQUE(_xlfn._xlws.FILTER(INDIRECT("PQ_Base_Opcoes_Formatada["&amp;DG$1&amp;"]"),INDIRECT("PQ_Base_Opcoes_Formatada["&amp;DG$1&amp;"]")&lt;&gt;"")),"")</f>
        <v/>
      </c>
      <c r="DH2" t="str" cm="1">
        <f t="array" aca="1" ref="DH2" ca="1">IFERROR(_xlfn.UNIQUE(_xlfn._xlws.FILTER(INDIRECT("PQ_Base_Opcoes_Formatada["&amp;DH$1&amp;"]"),INDIRECT("PQ_Base_Opcoes_Formatada["&amp;DH$1&amp;"]")&lt;&gt;"")),"")</f>
        <v/>
      </c>
      <c r="DI2" t="str" cm="1">
        <f t="array" aca="1" ref="DI2" ca="1">IFERROR(_xlfn.UNIQUE(_xlfn._xlws.FILTER(INDIRECT("PQ_Base_Opcoes_Formatada["&amp;DI$1&amp;"]"),INDIRECT("PQ_Base_Opcoes_Formatada["&amp;DI$1&amp;"]")&lt;&gt;"")),"")</f>
        <v/>
      </c>
      <c r="DJ2" t="str" cm="1">
        <f t="array" aca="1" ref="DJ2" ca="1">IFERROR(_xlfn.UNIQUE(_xlfn._xlws.FILTER(INDIRECT("PQ_Base_Opcoes_Formatada["&amp;DJ$1&amp;"]"),INDIRECT("PQ_Base_Opcoes_Formatada["&amp;DJ$1&amp;"]")&lt;&gt;"")),"")</f>
        <v/>
      </c>
      <c r="DK2" t="str" cm="1">
        <f t="array" aca="1" ref="DK2" ca="1">IFERROR(_xlfn.UNIQUE(_xlfn._xlws.FILTER(INDIRECT("PQ_Base_Opcoes_Formatada["&amp;DK$1&amp;"]"),INDIRECT("PQ_Base_Opcoes_Formatada["&amp;DK$1&amp;"]")&lt;&gt;"")),"")</f>
        <v/>
      </c>
      <c r="DL2" t="str" cm="1">
        <f t="array" aca="1" ref="DL2" ca="1">IFERROR(_xlfn.UNIQUE(_xlfn._xlws.FILTER(INDIRECT("PQ_Base_Opcoes_Formatada["&amp;DL$1&amp;"]"),INDIRECT("PQ_Base_Opcoes_Formatada["&amp;DL$1&amp;"]")&lt;&gt;"")),"")</f>
        <v/>
      </c>
      <c r="DM2" t="str" cm="1">
        <f t="array" aca="1" ref="DM2" ca="1">IFERROR(_xlfn.UNIQUE(_xlfn._xlws.FILTER(INDIRECT("PQ_Base_Opcoes_Formatada["&amp;DM$1&amp;"]"),INDIRECT("PQ_Base_Opcoes_Formatada["&amp;DM$1&amp;"]")&lt;&gt;"")),"")</f>
        <v/>
      </c>
      <c r="DN2" t="str" cm="1">
        <f t="array" aca="1" ref="DN2" ca="1">IFERROR(_xlfn.UNIQUE(_xlfn._xlws.FILTER(INDIRECT("PQ_Base_Opcoes_Formatada["&amp;DN$1&amp;"]"),INDIRECT("PQ_Base_Opcoes_Formatada["&amp;DN$1&amp;"]")&lt;&gt;"")),"")</f>
        <v/>
      </c>
      <c r="DO2" t="str" cm="1">
        <f t="array" aca="1" ref="DO2" ca="1">IFERROR(_xlfn.UNIQUE(_xlfn._xlws.FILTER(INDIRECT("PQ_Base_Opcoes_Formatada["&amp;DO$1&amp;"]"),INDIRECT("PQ_Base_Opcoes_Formatada["&amp;DO$1&amp;"]")&lt;&gt;"")),"")</f>
        <v/>
      </c>
      <c r="DP2" t="str" cm="1">
        <f t="array" aca="1" ref="DP2" ca="1">IFERROR(_xlfn.UNIQUE(_xlfn._xlws.FILTER(INDIRECT("PQ_Base_Opcoes_Formatada["&amp;DP$1&amp;"]"),INDIRECT("PQ_Base_Opcoes_Formatada["&amp;DP$1&amp;"]")&lt;&gt;"")),"")</f>
        <v/>
      </c>
      <c r="DQ2" t="str" cm="1">
        <f t="array" aca="1" ref="DQ2" ca="1">IFERROR(_xlfn.UNIQUE(_xlfn._xlws.FILTER(INDIRECT("PQ_Base_Opcoes_Formatada["&amp;DQ$1&amp;"]"),INDIRECT("PQ_Base_Opcoes_Formatada["&amp;DQ$1&amp;"]")&lt;&gt;"")),"")</f>
        <v/>
      </c>
      <c r="DR2" t="str" cm="1">
        <f t="array" aca="1" ref="DR2" ca="1">IFERROR(_xlfn.UNIQUE(_xlfn._xlws.FILTER(INDIRECT("PQ_Base_Opcoes_Formatada["&amp;DR$1&amp;"]"),INDIRECT("PQ_Base_Opcoes_Formatada["&amp;DR$1&amp;"]")&lt;&gt;"")),"")</f>
        <v/>
      </c>
      <c r="DS2" t="str" cm="1">
        <f t="array" aca="1" ref="DS2" ca="1">IFERROR(_xlfn.UNIQUE(_xlfn._xlws.FILTER(INDIRECT("PQ_Base_Opcoes_Formatada["&amp;DS$1&amp;"]"),INDIRECT("PQ_Base_Opcoes_Formatada["&amp;DS$1&amp;"]")&lt;&gt;"")),"")</f>
        <v/>
      </c>
      <c r="DT2" t="str" cm="1">
        <f t="array" aca="1" ref="DT2" ca="1">IFERROR(_xlfn.UNIQUE(_xlfn._xlws.FILTER(INDIRECT("PQ_Base_Opcoes_Formatada["&amp;DT$1&amp;"]"),INDIRECT("PQ_Base_Opcoes_Formatada["&amp;DT$1&amp;"]")&lt;&gt;"")),"")</f>
        <v/>
      </c>
      <c r="DU2" t="str" cm="1">
        <f t="array" aca="1" ref="DU2" ca="1">IFERROR(_xlfn.UNIQUE(_xlfn._xlws.FILTER(INDIRECT("PQ_Base_Opcoes_Formatada["&amp;DU$1&amp;"]"),INDIRECT("PQ_Base_Opcoes_Formatada["&amp;DU$1&amp;"]")&lt;&gt;"")),"")</f>
        <v/>
      </c>
      <c r="DV2" t="str" cm="1">
        <f t="array" aca="1" ref="DV2" ca="1">IFERROR(_xlfn.UNIQUE(_xlfn._xlws.FILTER(INDIRECT("PQ_Base_Opcoes_Formatada["&amp;DV$1&amp;"]"),INDIRECT("PQ_Base_Opcoes_Formatada["&amp;DV$1&amp;"]")&lt;&gt;"")),"")</f>
        <v/>
      </c>
      <c r="DW2" t="str" cm="1">
        <f t="array" aca="1" ref="DW2" ca="1">IFERROR(_xlfn.UNIQUE(_xlfn._xlws.FILTER(INDIRECT("PQ_Base_Opcoes_Formatada["&amp;DW$1&amp;"]"),INDIRECT("PQ_Base_Opcoes_Formatada["&amp;DW$1&amp;"]")&lt;&gt;"")),"")</f>
        <v/>
      </c>
      <c r="DX2" t="str" cm="1">
        <f t="array" aca="1" ref="DX2" ca="1">IFERROR(_xlfn.UNIQUE(_xlfn._xlws.FILTER(INDIRECT("PQ_Base_Opcoes_Formatada["&amp;DX$1&amp;"]"),INDIRECT("PQ_Base_Opcoes_Formatada["&amp;DX$1&amp;"]")&lt;&gt;"")),"")</f>
        <v/>
      </c>
      <c r="DY2" t="str" cm="1">
        <f t="array" aca="1" ref="DY2" ca="1">IFERROR(_xlfn.UNIQUE(_xlfn._xlws.FILTER(INDIRECT("PQ_Base_Opcoes_Formatada["&amp;DY$1&amp;"]"),INDIRECT("PQ_Base_Opcoes_Formatada["&amp;DY$1&amp;"]")&lt;&gt;"")),"")</f>
        <v/>
      </c>
      <c r="DZ2" t="str" cm="1">
        <f t="array" aca="1" ref="DZ2" ca="1">IFERROR(_xlfn.UNIQUE(_xlfn._xlws.FILTER(INDIRECT("PQ_Base_Opcoes_Formatada["&amp;DZ$1&amp;"]"),INDIRECT("PQ_Base_Opcoes_Formatada["&amp;DZ$1&amp;"]")&lt;&gt;"")),"")</f>
        <v/>
      </c>
      <c r="EA2" t="str" cm="1">
        <f t="array" aca="1" ref="EA2" ca="1">IFERROR(_xlfn.UNIQUE(_xlfn._xlws.FILTER(INDIRECT("PQ_Base_Opcoes_Formatada["&amp;EA$1&amp;"]"),INDIRECT("PQ_Base_Opcoes_Formatada["&amp;EA$1&amp;"]")&lt;&gt;"")),"")</f>
        <v/>
      </c>
      <c r="EB2" t="str" cm="1">
        <f t="array" aca="1" ref="EB2" ca="1">IFERROR(_xlfn.UNIQUE(_xlfn._xlws.FILTER(INDIRECT("PQ_Base_Opcoes_Formatada["&amp;EB$1&amp;"]"),INDIRECT("PQ_Base_Opcoes_Formatada["&amp;EB$1&amp;"]")&lt;&gt;"")),"")</f>
        <v/>
      </c>
      <c r="EC2" t="str" cm="1">
        <f t="array" aca="1" ref="EC2" ca="1">IFERROR(_xlfn.UNIQUE(_xlfn._xlws.FILTER(INDIRECT("PQ_Base_Opcoes_Formatada["&amp;EC$1&amp;"]"),INDIRECT("PQ_Base_Opcoes_Formatada["&amp;EC$1&amp;"]")&lt;&gt;"")),"")</f>
        <v/>
      </c>
      <c r="ED2" t="str" cm="1">
        <f t="array" aca="1" ref="ED2" ca="1">IFERROR(_xlfn.UNIQUE(_xlfn._xlws.FILTER(INDIRECT("PQ_Base_Opcoes_Formatada["&amp;ED$1&amp;"]"),INDIRECT("PQ_Base_Opcoes_Formatada["&amp;ED$1&amp;"]")&lt;&gt;"")),"")</f>
        <v/>
      </c>
      <c r="EE2" t="str" cm="1">
        <f t="array" aca="1" ref="EE2" ca="1">IFERROR(_xlfn.UNIQUE(_xlfn._xlws.FILTER(INDIRECT("PQ_Base_Opcoes_Formatada["&amp;EE$1&amp;"]"),INDIRECT("PQ_Base_Opcoes_Formatada["&amp;EE$1&amp;"]")&lt;&gt;"")),"")</f>
        <v/>
      </c>
      <c r="EF2" t="str" cm="1">
        <f t="array" aca="1" ref="EF2" ca="1">IFERROR(_xlfn.UNIQUE(_xlfn._xlws.FILTER(INDIRECT("PQ_Base_Opcoes_Formatada["&amp;EF$1&amp;"]"),INDIRECT("PQ_Base_Opcoes_Formatada["&amp;EF$1&amp;"]")&lt;&gt;"")),"")</f>
        <v/>
      </c>
      <c r="EG2" t="str" cm="1">
        <f t="array" aca="1" ref="EG2" ca="1">IFERROR(_xlfn.UNIQUE(_xlfn._xlws.FILTER(INDIRECT("PQ_Base_Opcoes_Formatada["&amp;EG$1&amp;"]"),INDIRECT("PQ_Base_Opcoes_Formatada["&amp;EG$1&amp;"]")&lt;&gt;"")),"")</f>
        <v/>
      </c>
      <c r="EH2" t="str" cm="1">
        <f t="array" aca="1" ref="EH2" ca="1">IFERROR(_xlfn.UNIQUE(_xlfn._xlws.FILTER(INDIRECT("PQ_Base_Opcoes_Formatada["&amp;EH$1&amp;"]"),INDIRECT("PQ_Base_Opcoes_Formatada["&amp;EH$1&amp;"]")&lt;&gt;"")),"")</f>
        <v/>
      </c>
      <c r="EI2" t="str" cm="1">
        <f t="array" aca="1" ref="EI2" ca="1">IFERROR(_xlfn.UNIQUE(_xlfn._xlws.FILTER(INDIRECT("PQ_Base_Opcoes_Formatada["&amp;EI$1&amp;"]"),INDIRECT("PQ_Base_Opcoes_Formatada["&amp;EI$1&amp;"]")&lt;&gt;"")),"")</f>
        <v/>
      </c>
      <c r="EJ2" t="str" cm="1">
        <f t="array" aca="1" ref="EJ2" ca="1">IFERROR(_xlfn.UNIQUE(_xlfn._xlws.FILTER(INDIRECT("PQ_Base_Opcoes_Formatada["&amp;EJ$1&amp;"]"),INDIRECT("PQ_Base_Opcoes_Formatada["&amp;EJ$1&amp;"]")&lt;&gt;"")),"")</f>
        <v/>
      </c>
      <c r="EK2" t="str" cm="1">
        <f t="array" aca="1" ref="EK2" ca="1">IFERROR(_xlfn.UNIQUE(_xlfn._xlws.FILTER(INDIRECT("PQ_Base_Opcoes_Formatada["&amp;EK$1&amp;"]"),INDIRECT("PQ_Base_Opcoes_Formatada["&amp;EK$1&amp;"]")&lt;&gt;"")),"")</f>
        <v/>
      </c>
      <c r="EL2" t="str" cm="1">
        <f t="array" aca="1" ref="EL2" ca="1">IFERROR(_xlfn.UNIQUE(_xlfn._xlws.FILTER(INDIRECT("PQ_Base_Opcoes_Formatada["&amp;EL$1&amp;"]"),INDIRECT("PQ_Base_Opcoes_Formatada["&amp;EL$1&amp;"]")&lt;&gt;"")),"")</f>
        <v/>
      </c>
      <c r="EM2" t="str" cm="1">
        <f t="array" aca="1" ref="EM2" ca="1">IFERROR(_xlfn.UNIQUE(_xlfn._xlws.FILTER(INDIRECT("PQ_Base_Opcoes_Formatada["&amp;EM$1&amp;"]"),INDIRECT("PQ_Base_Opcoes_Formatada["&amp;EM$1&amp;"]")&lt;&gt;"")),"")</f>
        <v/>
      </c>
      <c r="EN2" t="str" cm="1">
        <f t="array" aca="1" ref="EN2" ca="1">IFERROR(_xlfn.UNIQUE(_xlfn._xlws.FILTER(INDIRECT("PQ_Base_Opcoes_Formatada["&amp;EN$1&amp;"]"),INDIRECT("PQ_Base_Opcoes_Formatada["&amp;EN$1&amp;"]")&lt;&gt;"")),"")</f>
        <v/>
      </c>
      <c r="EO2" t="str" cm="1">
        <f t="array" aca="1" ref="EO2" ca="1">IFERROR(_xlfn.UNIQUE(_xlfn._xlws.FILTER(INDIRECT("PQ_Base_Opcoes_Formatada["&amp;EO$1&amp;"]"),INDIRECT("PQ_Base_Opcoes_Formatada["&amp;EO$1&amp;"]")&lt;&gt;"")),"")</f>
        <v/>
      </c>
      <c r="EP2" t="str" cm="1">
        <f t="array" aca="1" ref="EP2" ca="1">IFERROR(_xlfn.UNIQUE(_xlfn._xlws.FILTER(INDIRECT("PQ_Base_Opcoes_Formatada["&amp;EP$1&amp;"]"),INDIRECT("PQ_Base_Opcoes_Formatada["&amp;EP$1&amp;"]")&lt;&gt;"")),"")</f>
        <v/>
      </c>
      <c r="EQ2" t="str" cm="1">
        <f t="array" aca="1" ref="EQ2" ca="1">IFERROR(_xlfn.UNIQUE(_xlfn._xlws.FILTER(INDIRECT("PQ_Base_Opcoes_Formatada["&amp;EQ$1&amp;"]"),INDIRECT("PQ_Base_Opcoes_Formatada["&amp;EQ$1&amp;"]")&lt;&gt;"")),"")</f>
        <v/>
      </c>
      <c r="ER2" t="str" cm="1">
        <f t="array" aca="1" ref="ER2" ca="1">IFERROR(_xlfn.UNIQUE(_xlfn._xlws.FILTER(INDIRECT("PQ_Base_Opcoes_Formatada["&amp;ER$1&amp;"]"),INDIRECT("PQ_Base_Opcoes_Formatada["&amp;ER$1&amp;"]")&lt;&gt;"")),"")</f>
        <v/>
      </c>
      <c r="ES2" t="str" cm="1">
        <f t="array" aca="1" ref="ES2" ca="1">IFERROR(_xlfn.UNIQUE(_xlfn._xlws.FILTER(INDIRECT("PQ_Base_Opcoes_Formatada["&amp;ES$1&amp;"]"),INDIRECT("PQ_Base_Opcoes_Formatada["&amp;ES$1&amp;"]")&lt;&gt;"")),"")</f>
        <v/>
      </c>
      <c r="ET2" t="str" cm="1">
        <f t="array" aca="1" ref="ET2" ca="1">IFERROR(_xlfn.UNIQUE(_xlfn._xlws.FILTER(INDIRECT("PQ_Base_Opcoes_Formatada["&amp;ET$1&amp;"]"),INDIRECT("PQ_Base_Opcoes_Formatada["&amp;ET$1&amp;"]")&lt;&gt;"")),"")</f>
        <v/>
      </c>
      <c r="EU2" t="str" cm="1">
        <f t="array" aca="1" ref="EU2" ca="1">IFERROR(_xlfn.UNIQUE(_xlfn._xlws.FILTER(INDIRECT("PQ_Base_Opcoes_Formatada["&amp;EU$1&amp;"]"),INDIRECT("PQ_Base_Opcoes_Formatada["&amp;EU$1&amp;"]")&lt;&gt;"")),"")</f>
        <v/>
      </c>
      <c r="EV2" t="str" cm="1">
        <f t="array" aca="1" ref="EV2" ca="1">IFERROR(_xlfn.UNIQUE(_xlfn._xlws.FILTER(INDIRECT("PQ_Base_Opcoes_Formatada["&amp;EV$1&amp;"]"),INDIRECT("PQ_Base_Opcoes_Formatada["&amp;EV$1&amp;"]")&lt;&gt;"")),"")</f>
        <v/>
      </c>
      <c r="EW2" t="str" cm="1">
        <f t="array" aca="1" ref="EW2" ca="1">IFERROR(_xlfn.UNIQUE(_xlfn._xlws.FILTER(INDIRECT("PQ_Base_Opcoes_Formatada["&amp;EW$1&amp;"]"),INDIRECT("PQ_Base_Opcoes_Formatada["&amp;EW$1&amp;"]")&lt;&gt;"")),"")</f>
        <v/>
      </c>
      <c r="EX2" t="str" cm="1">
        <f t="array" aca="1" ref="EX2" ca="1">IFERROR(_xlfn.UNIQUE(_xlfn._xlws.FILTER(INDIRECT("PQ_Base_Opcoes_Formatada["&amp;EX$1&amp;"]"),INDIRECT("PQ_Base_Opcoes_Formatada["&amp;EX$1&amp;"]")&lt;&gt;"")),"")</f>
        <v/>
      </c>
      <c r="EY2" t="str" cm="1">
        <f t="array" aca="1" ref="EY2" ca="1">IFERROR(_xlfn.UNIQUE(_xlfn._xlws.FILTER(INDIRECT("PQ_Base_Opcoes_Formatada["&amp;EY$1&amp;"]"),INDIRECT("PQ_Base_Opcoes_Formatada["&amp;EY$1&amp;"]")&lt;&gt;"")),"")</f>
        <v/>
      </c>
      <c r="EZ2" t="str" cm="1">
        <f t="array" aca="1" ref="EZ2" ca="1">IFERROR(_xlfn.UNIQUE(_xlfn._xlws.FILTER(INDIRECT("PQ_Base_Opcoes_Formatada["&amp;EZ$1&amp;"]"),INDIRECT("PQ_Base_Opcoes_Formatada["&amp;EZ$1&amp;"]")&lt;&gt;"")),"")</f>
        <v/>
      </c>
      <c r="FA2" t="str" cm="1">
        <f t="array" aca="1" ref="FA2" ca="1">IFERROR(_xlfn.UNIQUE(_xlfn._xlws.FILTER(INDIRECT("PQ_Base_Opcoes_Formatada["&amp;FA$1&amp;"]"),INDIRECT("PQ_Base_Opcoes_Formatada["&amp;FA$1&amp;"]")&lt;&gt;"")),"")</f>
        <v/>
      </c>
      <c r="FB2" t="str" cm="1">
        <f t="array" aca="1" ref="FB2" ca="1">IFERROR(_xlfn.UNIQUE(_xlfn._xlws.FILTER(INDIRECT("PQ_Base_Opcoes_Formatada["&amp;FB$1&amp;"]"),INDIRECT("PQ_Base_Opcoes_Formatada["&amp;FB$1&amp;"]")&lt;&gt;"")),"")</f>
        <v/>
      </c>
      <c r="FC2" t="str" cm="1">
        <f t="array" aca="1" ref="FC2" ca="1">IFERROR(_xlfn.UNIQUE(_xlfn._xlws.FILTER(INDIRECT("PQ_Base_Opcoes_Formatada["&amp;FC$1&amp;"]"),INDIRECT("PQ_Base_Opcoes_Formatada["&amp;FC$1&amp;"]")&lt;&gt;"")),"")</f>
        <v/>
      </c>
      <c r="FD2" t="str" cm="1">
        <f t="array" aca="1" ref="FD2" ca="1">IFERROR(_xlfn.UNIQUE(_xlfn._xlws.FILTER(INDIRECT("PQ_Base_Opcoes_Formatada["&amp;FD$1&amp;"]"),INDIRECT("PQ_Base_Opcoes_Formatada["&amp;FD$1&amp;"]")&lt;&gt;"")),"")</f>
        <v/>
      </c>
      <c r="FE2" t="str" cm="1">
        <f t="array" aca="1" ref="FE2" ca="1">IFERROR(_xlfn.UNIQUE(_xlfn._xlws.FILTER(INDIRECT("PQ_Base_Opcoes_Formatada["&amp;FE$1&amp;"]"),INDIRECT("PQ_Base_Opcoes_Formatada["&amp;FE$1&amp;"]")&lt;&gt;"")),"")</f>
        <v/>
      </c>
      <c r="FF2" t="str" cm="1">
        <f t="array" aca="1" ref="FF2" ca="1">IFERROR(_xlfn.UNIQUE(_xlfn._xlws.FILTER(INDIRECT("PQ_Base_Opcoes_Formatada["&amp;FF$1&amp;"]"),INDIRECT("PQ_Base_Opcoes_Formatada["&amp;FF$1&amp;"]")&lt;&gt;"")),"")</f>
        <v/>
      </c>
      <c r="FG2" t="str" cm="1">
        <f t="array" aca="1" ref="FG2" ca="1">IFERROR(_xlfn.UNIQUE(_xlfn._xlws.FILTER(INDIRECT("PQ_Base_Opcoes_Formatada["&amp;FG$1&amp;"]"),INDIRECT("PQ_Base_Opcoes_Formatada["&amp;FG$1&amp;"]")&lt;&gt;"")),"")</f>
        <v/>
      </c>
      <c r="FH2" t="str" cm="1">
        <f t="array" aca="1" ref="FH2" ca="1">IFERROR(_xlfn.UNIQUE(_xlfn._xlws.FILTER(INDIRECT("PQ_Base_Opcoes_Formatada["&amp;FH$1&amp;"]"),INDIRECT("PQ_Base_Opcoes_Formatada["&amp;FH$1&amp;"]")&lt;&gt;"")),"")</f>
        <v/>
      </c>
      <c r="FI2" t="str" cm="1">
        <f t="array" aca="1" ref="FI2" ca="1">IFERROR(_xlfn.UNIQUE(_xlfn._xlws.FILTER(INDIRECT("PQ_Base_Opcoes_Formatada["&amp;FI$1&amp;"]"),INDIRECT("PQ_Base_Opcoes_Formatada["&amp;FI$1&amp;"]")&lt;&gt;"")),"")</f>
        <v/>
      </c>
      <c r="FJ2" t="str" cm="1">
        <f t="array" aca="1" ref="FJ2" ca="1">IFERROR(_xlfn.UNIQUE(_xlfn._xlws.FILTER(INDIRECT("PQ_Base_Opcoes_Formatada["&amp;FJ$1&amp;"]"),INDIRECT("PQ_Base_Opcoes_Formatada["&amp;FJ$1&amp;"]")&lt;&gt;"")),"")</f>
        <v/>
      </c>
      <c r="FK2" t="str" cm="1">
        <f t="array" aca="1" ref="FK2" ca="1">IFERROR(_xlfn.UNIQUE(_xlfn._xlws.FILTER(INDIRECT("PQ_Base_Opcoes_Formatada["&amp;FK$1&amp;"]"),INDIRECT("PQ_Base_Opcoes_Formatada["&amp;FK$1&amp;"]")&lt;&gt;"")),"")</f>
        <v/>
      </c>
      <c r="FL2" t="str" cm="1">
        <f t="array" aca="1" ref="FL2" ca="1">IFERROR(_xlfn.UNIQUE(_xlfn._xlws.FILTER(INDIRECT("PQ_Base_Opcoes_Formatada["&amp;FL$1&amp;"]"),INDIRECT("PQ_Base_Opcoes_Formatada["&amp;FL$1&amp;"]")&lt;&gt;"")),"")</f>
        <v/>
      </c>
      <c r="FM2" t="str" cm="1">
        <f t="array" aca="1" ref="FM2" ca="1">IFERROR(_xlfn.UNIQUE(_xlfn._xlws.FILTER(INDIRECT("PQ_Base_Opcoes_Formatada["&amp;FM$1&amp;"]"),INDIRECT("PQ_Base_Opcoes_Formatada["&amp;FM$1&amp;"]")&lt;&gt;"")),"")</f>
        <v/>
      </c>
      <c r="FN2" t="str" cm="1">
        <f t="array" aca="1" ref="FN2" ca="1">IFERROR(_xlfn.UNIQUE(_xlfn._xlws.FILTER(INDIRECT("PQ_Base_Opcoes_Formatada["&amp;FN$1&amp;"]"),INDIRECT("PQ_Base_Opcoes_Formatada["&amp;FN$1&amp;"]")&lt;&gt;"")),"")</f>
        <v/>
      </c>
      <c r="FO2" t="str" cm="1">
        <f t="array" aca="1" ref="FO2" ca="1">IFERROR(_xlfn.UNIQUE(_xlfn._xlws.FILTER(INDIRECT("PQ_Base_Opcoes_Formatada["&amp;FO$1&amp;"]"),INDIRECT("PQ_Base_Opcoes_Formatada["&amp;FO$1&amp;"]")&lt;&gt;"")),"")</f>
        <v/>
      </c>
      <c r="FP2" t="str" cm="1">
        <f t="array" aca="1" ref="FP2" ca="1">IFERROR(_xlfn.UNIQUE(_xlfn._xlws.FILTER(INDIRECT("PQ_Base_Opcoes_Formatada["&amp;FP$1&amp;"]"),INDIRECT("PQ_Base_Opcoes_Formatada["&amp;FP$1&amp;"]")&lt;&gt;"")),"")</f>
        <v/>
      </c>
      <c r="FQ2" t="str" cm="1">
        <f t="array" aca="1" ref="FQ2" ca="1">IFERROR(_xlfn.UNIQUE(_xlfn._xlws.FILTER(INDIRECT("PQ_Base_Opcoes_Formatada["&amp;FQ$1&amp;"]"),INDIRECT("PQ_Base_Opcoes_Formatada["&amp;FQ$1&amp;"]")&lt;&gt;"")),"")</f>
        <v/>
      </c>
      <c r="FR2" t="str" cm="1">
        <f t="array" aca="1" ref="FR2" ca="1">IFERROR(_xlfn.UNIQUE(_xlfn._xlws.FILTER(INDIRECT("PQ_Base_Opcoes_Formatada["&amp;FR$1&amp;"]"),INDIRECT("PQ_Base_Opcoes_Formatada["&amp;FR$1&amp;"]")&lt;&gt;"")),"")</f>
        <v/>
      </c>
      <c r="FS2" t="str" cm="1">
        <f t="array" aca="1" ref="FS2" ca="1">IFERROR(_xlfn.UNIQUE(_xlfn._xlws.FILTER(INDIRECT("PQ_Base_Opcoes_Formatada["&amp;FS$1&amp;"]"),INDIRECT("PQ_Base_Opcoes_Formatada["&amp;FS$1&amp;"]")&lt;&gt;"")),"")</f>
        <v/>
      </c>
      <c r="FT2" t="str" cm="1">
        <f t="array" aca="1" ref="FT2" ca="1">IFERROR(_xlfn.UNIQUE(_xlfn._xlws.FILTER(INDIRECT("PQ_Base_Opcoes_Formatada["&amp;FT$1&amp;"]"),INDIRECT("PQ_Base_Opcoes_Formatada["&amp;FT$1&amp;"]")&lt;&gt;"")),"")</f>
        <v/>
      </c>
      <c r="FU2" t="str" cm="1">
        <f t="array" aca="1" ref="FU2" ca="1">IFERROR(_xlfn.UNIQUE(_xlfn._xlws.FILTER(INDIRECT("PQ_Base_Opcoes_Formatada["&amp;FU$1&amp;"]"),INDIRECT("PQ_Base_Opcoes_Formatada["&amp;FU$1&amp;"]")&lt;&gt;"")),"")</f>
        <v/>
      </c>
      <c r="FV2" t="str" cm="1">
        <f t="array" aca="1" ref="FV2" ca="1">IFERROR(_xlfn.UNIQUE(_xlfn._xlws.FILTER(INDIRECT("PQ_Base_Opcoes_Formatada["&amp;FV$1&amp;"]"),INDIRECT("PQ_Base_Opcoes_Formatada["&amp;FV$1&amp;"]")&lt;&gt;"")),"")</f>
        <v/>
      </c>
      <c r="FW2" t="str" cm="1">
        <f t="array" aca="1" ref="FW2" ca="1">IFERROR(_xlfn.UNIQUE(_xlfn._xlws.FILTER(INDIRECT("PQ_Base_Opcoes_Formatada["&amp;FW$1&amp;"]"),INDIRECT("PQ_Base_Opcoes_Formatada["&amp;FW$1&amp;"]")&lt;&gt;"")),"")</f>
        <v/>
      </c>
      <c r="FX2" t="str" cm="1">
        <f t="array" aca="1" ref="FX2" ca="1">IFERROR(_xlfn.UNIQUE(_xlfn._xlws.FILTER(INDIRECT("PQ_Base_Opcoes_Formatada["&amp;FX$1&amp;"]"),INDIRECT("PQ_Base_Opcoes_Formatada["&amp;FX$1&amp;"]")&lt;&gt;"")),"")</f>
        <v/>
      </c>
      <c r="FY2" t="str" cm="1">
        <f t="array" aca="1" ref="FY2" ca="1">IFERROR(_xlfn.UNIQUE(_xlfn._xlws.FILTER(INDIRECT("PQ_Base_Opcoes_Formatada["&amp;FY$1&amp;"]"),INDIRECT("PQ_Base_Opcoes_Formatada["&amp;FY$1&amp;"]")&lt;&gt;"")),"")</f>
        <v/>
      </c>
      <c r="FZ2" t="str" cm="1">
        <f t="array" aca="1" ref="FZ2" ca="1">IFERROR(_xlfn.UNIQUE(_xlfn._xlws.FILTER(INDIRECT("PQ_Base_Opcoes_Formatada["&amp;FZ$1&amp;"]"),INDIRECT("PQ_Base_Opcoes_Formatada["&amp;FZ$1&amp;"]")&lt;&gt;"")),"")</f>
        <v/>
      </c>
      <c r="GA2" t="str" cm="1">
        <f t="array" aca="1" ref="GA2" ca="1">IFERROR(_xlfn.UNIQUE(_xlfn._xlws.FILTER(INDIRECT("PQ_Base_Opcoes_Formatada["&amp;GA$1&amp;"]"),INDIRECT("PQ_Base_Opcoes_Formatada["&amp;GA$1&amp;"]")&lt;&gt;"")),"")</f>
        <v/>
      </c>
      <c r="GB2" t="str" cm="1">
        <f t="array" aca="1" ref="GB2" ca="1">IFERROR(_xlfn.UNIQUE(_xlfn._xlws.FILTER(INDIRECT("PQ_Base_Opcoes_Formatada["&amp;GB$1&amp;"]"),INDIRECT("PQ_Base_Opcoes_Formatada["&amp;GB$1&amp;"]")&lt;&gt;"")),"")</f>
        <v/>
      </c>
      <c r="GC2" t="str" cm="1">
        <f t="array" aca="1" ref="GC2" ca="1">IFERROR(_xlfn.UNIQUE(_xlfn._xlws.FILTER(INDIRECT("PQ_Base_Opcoes_Formatada["&amp;GC$1&amp;"]"),INDIRECT("PQ_Base_Opcoes_Formatada["&amp;GC$1&amp;"]")&lt;&gt;"")),"")</f>
        <v/>
      </c>
      <c r="GD2" t="str" cm="1">
        <f t="array" aca="1" ref="GD2" ca="1">IFERROR(_xlfn.UNIQUE(_xlfn._xlws.FILTER(INDIRECT("PQ_Base_Opcoes_Formatada["&amp;GD$1&amp;"]"),INDIRECT("PQ_Base_Opcoes_Formatada["&amp;GD$1&amp;"]")&lt;&gt;"")),"")</f>
        <v/>
      </c>
      <c r="GE2" t="str" cm="1">
        <f t="array" aca="1" ref="GE2" ca="1">IFERROR(_xlfn.UNIQUE(_xlfn._xlws.FILTER(INDIRECT("PQ_Base_Opcoes_Formatada["&amp;GE$1&amp;"]"),INDIRECT("PQ_Base_Opcoes_Formatada["&amp;GE$1&amp;"]")&lt;&gt;"")),"")</f>
        <v/>
      </c>
      <c r="GF2" t="str" cm="1">
        <f t="array" aca="1" ref="GF2" ca="1">IFERROR(_xlfn.UNIQUE(_xlfn._xlws.FILTER(INDIRECT("PQ_Base_Opcoes_Formatada["&amp;GF$1&amp;"]"),INDIRECT("PQ_Base_Opcoes_Formatada["&amp;GF$1&amp;"]")&lt;&gt;"")),"")</f>
        <v/>
      </c>
      <c r="GG2" t="str" cm="1">
        <f t="array" aca="1" ref="GG2" ca="1">IFERROR(_xlfn.UNIQUE(_xlfn._xlws.FILTER(INDIRECT("PQ_Base_Opcoes_Formatada["&amp;GG$1&amp;"]"),INDIRECT("PQ_Base_Opcoes_Formatada["&amp;GG$1&amp;"]")&lt;&gt;"")),"")</f>
        <v/>
      </c>
      <c r="GH2" t="str" cm="1">
        <f t="array" aca="1" ref="GH2" ca="1">IFERROR(_xlfn.UNIQUE(_xlfn._xlws.FILTER(INDIRECT("PQ_Base_Opcoes_Formatada["&amp;GH$1&amp;"]"),INDIRECT("PQ_Base_Opcoes_Formatada["&amp;GH$1&amp;"]")&lt;&gt;"")),"")</f>
        <v/>
      </c>
      <c r="GI2" t="str" cm="1">
        <f t="array" aca="1" ref="GI2" ca="1">IFERROR(_xlfn.UNIQUE(_xlfn._xlws.FILTER(INDIRECT("PQ_Base_Opcoes_Formatada["&amp;GI$1&amp;"]"),INDIRECT("PQ_Base_Opcoes_Formatada["&amp;GI$1&amp;"]")&lt;&gt;"")),"")</f>
        <v/>
      </c>
      <c r="GJ2" t="str" cm="1">
        <f t="array" aca="1" ref="GJ2" ca="1">IFERROR(_xlfn.UNIQUE(_xlfn._xlws.FILTER(INDIRECT("PQ_Base_Opcoes_Formatada["&amp;GJ$1&amp;"]"),INDIRECT("PQ_Base_Opcoes_Formatada["&amp;GJ$1&amp;"]")&lt;&gt;"")),"")</f>
        <v/>
      </c>
      <c r="GK2" t="str" cm="1">
        <f t="array" aca="1" ref="GK2" ca="1">IFERROR(_xlfn.UNIQUE(_xlfn._xlws.FILTER(INDIRECT("PQ_Base_Opcoes_Formatada["&amp;GK$1&amp;"]"),INDIRECT("PQ_Base_Opcoes_Formatada["&amp;GK$1&amp;"]")&lt;&gt;"")),"")</f>
        <v/>
      </c>
      <c r="GL2" t="str" cm="1">
        <f t="array" aca="1" ref="GL2" ca="1">IFERROR(_xlfn.UNIQUE(_xlfn._xlws.FILTER(INDIRECT("PQ_Base_Opcoes_Formatada["&amp;GL$1&amp;"]"),INDIRECT("PQ_Base_Opcoes_Formatada["&amp;GL$1&amp;"]")&lt;&gt;"")),"")</f>
        <v/>
      </c>
      <c r="GM2" t="str" cm="1">
        <f t="array" aca="1" ref="GM2" ca="1">IFERROR(_xlfn.UNIQUE(_xlfn._xlws.FILTER(INDIRECT("PQ_Base_Opcoes_Formatada["&amp;GM$1&amp;"]"),INDIRECT("PQ_Base_Opcoes_Formatada["&amp;GM$1&amp;"]")&lt;&gt;"")),"")</f>
        <v/>
      </c>
      <c r="GN2" t="str" cm="1">
        <f t="array" aca="1" ref="GN2" ca="1">IFERROR(_xlfn.UNIQUE(_xlfn._xlws.FILTER(INDIRECT("PQ_Base_Opcoes_Formatada["&amp;GN$1&amp;"]"),INDIRECT("PQ_Base_Opcoes_Formatada["&amp;GN$1&amp;"]")&lt;&gt;"")),"")</f>
        <v/>
      </c>
      <c r="GO2" t="str" cm="1">
        <f t="array" aca="1" ref="GO2" ca="1">IFERROR(_xlfn.UNIQUE(_xlfn._xlws.FILTER(INDIRECT("PQ_Base_Opcoes_Formatada["&amp;GO$1&amp;"]"),INDIRECT("PQ_Base_Opcoes_Formatada["&amp;GO$1&amp;"]")&lt;&gt;"")),"")</f>
        <v/>
      </c>
      <c r="GP2" t="str" cm="1">
        <f t="array" aca="1" ref="GP2" ca="1">IFERROR(_xlfn.UNIQUE(_xlfn._xlws.FILTER(INDIRECT("PQ_Base_Opcoes_Formatada["&amp;GP$1&amp;"]"),INDIRECT("PQ_Base_Opcoes_Formatada["&amp;GP$1&amp;"]")&lt;&gt;"")),"")</f>
        <v/>
      </c>
      <c r="GQ2" t="str" cm="1">
        <f t="array" aca="1" ref="GQ2" ca="1">IFERROR(_xlfn.UNIQUE(_xlfn._xlws.FILTER(INDIRECT("PQ_Base_Opcoes_Formatada["&amp;GQ$1&amp;"]"),INDIRECT("PQ_Base_Opcoes_Formatada["&amp;GQ$1&amp;"]")&lt;&gt;"")),"")</f>
        <v/>
      </c>
      <c r="GR2" t="str" cm="1">
        <f t="array" aca="1" ref="GR2" ca="1">IFERROR(_xlfn.UNIQUE(_xlfn._xlws.FILTER(INDIRECT("PQ_Base_Opcoes_Formatada["&amp;GR$1&amp;"]"),INDIRECT("PQ_Base_Opcoes_Formatada["&amp;GR$1&amp;"]")&lt;&gt;"")),"")</f>
        <v/>
      </c>
      <c r="GS2" t="str" cm="1">
        <f t="array" aca="1" ref="GS2" ca="1">IFERROR(_xlfn.UNIQUE(_xlfn._xlws.FILTER(INDIRECT("PQ_Base_Opcoes_Formatada["&amp;GS$1&amp;"]"),INDIRECT("PQ_Base_Opcoes_Formatada["&amp;GS$1&amp;"]")&lt;&gt;"")),"")</f>
        <v/>
      </c>
      <c r="GT2" t="str" cm="1">
        <f t="array" aca="1" ref="GT2" ca="1">IFERROR(_xlfn.UNIQUE(_xlfn._xlws.FILTER(INDIRECT("PQ_Base_Opcoes_Formatada["&amp;GT$1&amp;"]"),INDIRECT("PQ_Base_Opcoes_Formatada["&amp;GT$1&amp;"]")&lt;&gt;"")),"")</f>
        <v/>
      </c>
      <c r="GU2" t="str" cm="1">
        <f t="array" aca="1" ref="GU2" ca="1">IFERROR(_xlfn.UNIQUE(_xlfn._xlws.FILTER(INDIRECT("PQ_Base_Opcoes_Formatada["&amp;GU$1&amp;"]"),INDIRECT("PQ_Base_Opcoes_Formatada["&amp;GU$1&amp;"]")&lt;&gt;"")),"")</f>
        <v/>
      </c>
      <c r="GV2" t="str" cm="1">
        <f t="array" aca="1" ref="GV2" ca="1">IFERROR(_xlfn.UNIQUE(_xlfn._xlws.FILTER(INDIRECT("PQ_Base_Opcoes_Formatada["&amp;GV$1&amp;"]"),INDIRECT("PQ_Base_Opcoes_Formatada["&amp;GV$1&amp;"]")&lt;&gt;"")),"")</f>
        <v/>
      </c>
      <c r="GW2" t="str" cm="1">
        <f t="array" aca="1" ref="GW2" ca="1">IFERROR(_xlfn.UNIQUE(_xlfn._xlws.FILTER(INDIRECT("PQ_Base_Opcoes_Formatada["&amp;GW$1&amp;"]"),INDIRECT("PQ_Base_Opcoes_Formatada["&amp;GW$1&amp;"]")&lt;&gt;"")),"")</f>
        <v/>
      </c>
      <c r="GX2" t="str" cm="1">
        <f t="array" aca="1" ref="GX2" ca="1">IFERROR(_xlfn.UNIQUE(_xlfn._xlws.FILTER(INDIRECT("PQ_Base_Opcoes_Formatada["&amp;GX$1&amp;"]"),INDIRECT("PQ_Base_Opcoes_Formatada["&amp;GX$1&amp;"]")&lt;&gt;"")),"")</f>
        <v/>
      </c>
      <c r="GY2" t="str" cm="1">
        <f t="array" aca="1" ref="GY2" ca="1">IFERROR(_xlfn.UNIQUE(_xlfn._xlws.FILTER(INDIRECT("PQ_Base_Opcoes_Formatada["&amp;GY$1&amp;"]"),INDIRECT("PQ_Base_Opcoes_Formatada["&amp;GY$1&amp;"]")&lt;&gt;"")),"")</f>
        <v/>
      </c>
      <c r="GZ2" t="str" cm="1">
        <f t="array" aca="1" ref="GZ2" ca="1">IFERROR(_xlfn.UNIQUE(_xlfn._xlws.FILTER(INDIRECT("PQ_Base_Opcoes_Formatada["&amp;GZ$1&amp;"]"),INDIRECT("PQ_Base_Opcoes_Formatada["&amp;GZ$1&amp;"]")&lt;&gt;"")),"")</f>
        <v/>
      </c>
      <c r="HA2" t="str" cm="1">
        <f t="array" aca="1" ref="HA2" ca="1">IFERROR(_xlfn.UNIQUE(_xlfn._xlws.FILTER(INDIRECT("PQ_Base_Opcoes_Formatada["&amp;HA$1&amp;"]"),INDIRECT("PQ_Base_Opcoes_Formatada["&amp;HA$1&amp;"]")&lt;&gt;"")),"")</f>
        <v/>
      </c>
      <c r="HB2" t="str" cm="1">
        <f t="array" aca="1" ref="HB2" ca="1">IFERROR(_xlfn.UNIQUE(_xlfn._xlws.FILTER(INDIRECT("PQ_Base_Opcoes_Formatada["&amp;HB$1&amp;"]"),INDIRECT("PQ_Base_Opcoes_Formatada["&amp;HB$1&amp;"]")&lt;&gt;"")),"")</f>
        <v/>
      </c>
      <c r="HC2" t="str" cm="1">
        <f t="array" aca="1" ref="HC2" ca="1">IFERROR(_xlfn.UNIQUE(_xlfn._xlws.FILTER(INDIRECT("PQ_Base_Opcoes_Formatada["&amp;HC$1&amp;"]"),INDIRECT("PQ_Base_Opcoes_Formatada["&amp;HC$1&amp;"]")&lt;&gt;"")),"")</f>
        <v/>
      </c>
      <c r="HD2" t="str" cm="1">
        <f t="array" aca="1" ref="HD2" ca="1">IFERROR(_xlfn.UNIQUE(_xlfn._xlws.FILTER(INDIRECT("PQ_Base_Opcoes_Formatada["&amp;HD$1&amp;"]"),INDIRECT("PQ_Base_Opcoes_Formatada["&amp;HD$1&amp;"]")&lt;&gt;"")),"")</f>
        <v/>
      </c>
      <c r="HE2" t="str" cm="1">
        <f t="array" aca="1" ref="HE2" ca="1">IFERROR(_xlfn.UNIQUE(_xlfn._xlws.FILTER(INDIRECT("PQ_Base_Opcoes_Formatada["&amp;HE$1&amp;"]"),INDIRECT("PQ_Base_Opcoes_Formatada["&amp;HE$1&amp;"]")&lt;&gt;"")),"")</f>
        <v/>
      </c>
      <c r="HF2" t="str" cm="1">
        <f t="array" aca="1" ref="HF2" ca="1">IFERROR(_xlfn.UNIQUE(_xlfn._xlws.FILTER(INDIRECT("PQ_Base_Opcoes_Formatada["&amp;HF$1&amp;"]"),INDIRECT("PQ_Base_Opcoes_Formatada["&amp;HF$1&amp;"]")&lt;&gt;"")),"")</f>
        <v/>
      </c>
      <c r="HG2" t="str" cm="1">
        <f t="array" aca="1" ref="HG2" ca="1">IFERROR(_xlfn.UNIQUE(_xlfn._xlws.FILTER(INDIRECT("PQ_Base_Opcoes_Formatada["&amp;HG$1&amp;"]"),INDIRECT("PQ_Base_Opcoes_Formatada["&amp;HG$1&amp;"]")&lt;&gt;"")),"")</f>
        <v/>
      </c>
      <c r="HH2" t="str" cm="1">
        <f t="array" aca="1" ref="HH2" ca="1">IFERROR(_xlfn.UNIQUE(_xlfn._xlws.FILTER(INDIRECT("PQ_Base_Opcoes_Formatada["&amp;HH$1&amp;"]"),INDIRECT("PQ_Base_Opcoes_Formatada["&amp;HH$1&amp;"]")&lt;&gt;"")),"")</f>
        <v/>
      </c>
      <c r="HI2" t="str" cm="1">
        <f t="array" aca="1" ref="HI2" ca="1">IFERROR(_xlfn.UNIQUE(_xlfn._xlws.FILTER(INDIRECT("PQ_Base_Opcoes_Formatada["&amp;HI$1&amp;"]"),INDIRECT("PQ_Base_Opcoes_Formatada["&amp;HI$1&amp;"]")&lt;&gt;"")),"")</f>
        <v/>
      </c>
      <c r="HJ2" t="str" cm="1">
        <f t="array" aca="1" ref="HJ2" ca="1">IFERROR(_xlfn.UNIQUE(_xlfn._xlws.FILTER(INDIRECT("PQ_Base_Opcoes_Formatada["&amp;HJ$1&amp;"]"),INDIRECT("PQ_Base_Opcoes_Formatada["&amp;HJ$1&amp;"]")&lt;&gt;"")),"")</f>
        <v/>
      </c>
      <c r="HK2" t="str" cm="1">
        <f t="array" aca="1" ref="HK2" ca="1">IFERROR(_xlfn.UNIQUE(_xlfn._xlws.FILTER(INDIRECT("PQ_Base_Opcoes_Formatada["&amp;HK$1&amp;"]"),INDIRECT("PQ_Base_Opcoes_Formatada["&amp;HK$1&amp;"]")&lt;&gt;"")),"")</f>
        <v/>
      </c>
      <c r="HL2" t="str" cm="1">
        <f t="array" aca="1" ref="HL2" ca="1">IFERROR(_xlfn.UNIQUE(_xlfn._xlws.FILTER(INDIRECT("PQ_Base_Opcoes_Formatada["&amp;HL$1&amp;"]"),INDIRECT("PQ_Base_Opcoes_Formatada["&amp;HL$1&amp;"]")&lt;&gt;"")),"")</f>
        <v/>
      </c>
      <c r="HM2" t="str" cm="1">
        <f t="array" aca="1" ref="HM2" ca="1">IFERROR(_xlfn.UNIQUE(_xlfn._xlws.FILTER(INDIRECT("PQ_Base_Opcoes_Formatada["&amp;HM$1&amp;"]"),INDIRECT("PQ_Base_Opcoes_Formatada["&amp;HM$1&amp;"]")&lt;&gt;"")),"")</f>
        <v/>
      </c>
      <c r="HN2" t="str" cm="1">
        <f t="array" aca="1" ref="HN2" ca="1">IFERROR(_xlfn.UNIQUE(_xlfn._xlws.FILTER(INDIRECT("PQ_Base_Opcoes_Formatada["&amp;HN$1&amp;"]"),INDIRECT("PQ_Base_Opcoes_Formatada["&amp;HN$1&amp;"]")&lt;&gt;"")),"")</f>
        <v/>
      </c>
      <c r="HO2" t="str" cm="1">
        <f t="array" aca="1" ref="HO2" ca="1">IFERROR(_xlfn.UNIQUE(_xlfn._xlws.FILTER(INDIRECT("PQ_Base_Opcoes_Formatada["&amp;HO$1&amp;"]"),INDIRECT("PQ_Base_Opcoes_Formatada["&amp;HO$1&amp;"]")&lt;&gt;"")),"")</f>
        <v/>
      </c>
      <c r="HP2" t="str" cm="1">
        <f t="array" aca="1" ref="HP2" ca="1">IFERROR(_xlfn.UNIQUE(_xlfn._xlws.FILTER(INDIRECT("PQ_Base_Opcoes_Formatada["&amp;HP$1&amp;"]"),INDIRECT("PQ_Base_Opcoes_Formatada["&amp;HP$1&amp;"]")&lt;&gt;"")),"")</f>
        <v/>
      </c>
      <c r="HQ2" t="str" cm="1">
        <f t="array" aca="1" ref="HQ2" ca="1">IFERROR(_xlfn.UNIQUE(_xlfn._xlws.FILTER(INDIRECT("PQ_Base_Opcoes_Formatada["&amp;HQ$1&amp;"]"),INDIRECT("PQ_Base_Opcoes_Formatada["&amp;HQ$1&amp;"]")&lt;&gt;"")),"")</f>
        <v/>
      </c>
      <c r="HR2" t="str" cm="1">
        <f t="array" aca="1" ref="HR2" ca="1">IFERROR(_xlfn.UNIQUE(_xlfn._xlws.FILTER(INDIRECT("PQ_Base_Opcoes_Formatada["&amp;HR$1&amp;"]"),INDIRECT("PQ_Base_Opcoes_Formatada["&amp;HR$1&amp;"]")&lt;&gt;"")),"")</f>
        <v/>
      </c>
      <c r="HS2" t="str" cm="1">
        <f t="array" aca="1" ref="HS2" ca="1">IFERROR(_xlfn.UNIQUE(_xlfn._xlws.FILTER(INDIRECT("PQ_Base_Opcoes_Formatada["&amp;HS$1&amp;"]"),INDIRECT("PQ_Base_Opcoes_Formatada["&amp;HS$1&amp;"]")&lt;&gt;"")),"")</f>
        <v/>
      </c>
      <c r="HT2" t="str" cm="1">
        <f t="array" aca="1" ref="HT2" ca="1">IFERROR(_xlfn.UNIQUE(_xlfn._xlws.FILTER(INDIRECT("PQ_Base_Opcoes_Formatada["&amp;HT$1&amp;"]"),INDIRECT("PQ_Base_Opcoes_Formatada["&amp;HT$1&amp;"]")&lt;&gt;"")),"")</f>
        <v/>
      </c>
      <c r="HU2" t="str" cm="1">
        <f t="array" aca="1" ref="HU2" ca="1">IFERROR(_xlfn.UNIQUE(_xlfn._xlws.FILTER(INDIRECT("PQ_Base_Opcoes_Formatada["&amp;HU$1&amp;"]"),INDIRECT("PQ_Base_Opcoes_Formatada["&amp;HU$1&amp;"]")&lt;&gt;"")),"")</f>
        <v/>
      </c>
      <c r="HV2" t="str" cm="1">
        <f t="array" aca="1" ref="HV2" ca="1">IFERROR(_xlfn.UNIQUE(_xlfn._xlws.FILTER(INDIRECT("PQ_Base_Opcoes_Formatada["&amp;HV$1&amp;"]"),INDIRECT("PQ_Base_Opcoes_Formatada["&amp;HV$1&amp;"]")&lt;&gt;"")),"")</f>
        <v/>
      </c>
      <c r="HW2" t="str" cm="1">
        <f t="array" aca="1" ref="HW2" ca="1">IFERROR(_xlfn.UNIQUE(_xlfn._xlws.FILTER(INDIRECT("PQ_Base_Opcoes_Formatada["&amp;HW$1&amp;"]"),INDIRECT("PQ_Base_Opcoes_Formatada["&amp;HW$1&amp;"]")&lt;&gt;"")),"")</f>
        <v/>
      </c>
      <c r="HX2" t="str" cm="1">
        <f t="array" aca="1" ref="HX2" ca="1">IFERROR(_xlfn.UNIQUE(_xlfn._xlws.FILTER(INDIRECT("PQ_Base_Opcoes_Formatada["&amp;HX$1&amp;"]"),INDIRECT("PQ_Base_Opcoes_Formatada["&amp;HX$1&amp;"]")&lt;&gt;"")),"")</f>
        <v/>
      </c>
      <c r="HY2" t="str" cm="1">
        <f t="array" aca="1" ref="HY2" ca="1">IFERROR(_xlfn.UNIQUE(_xlfn._xlws.FILTER(INDIRECT("PQ_Base_Opcoes_Formatada["&amp;HY$1&amp;"]"),INDIRECT("PQ_Base_Opcoes_Formatada["&amp;HY$1&amp;"]")&lt;&gt;"")),"")</f>
        <v/>
      </c>
      <c r="HZ2" t="str" cm="1">
        <f t="array" aca="1" ref="HZ2" ca="1">IFERROR(_xlfn.UNIQUE(_xlfn._xlws.FILTER(INDIRECT("PQ_Base_Opcoes_Formatada["&amp;HZ$1&amp;"]"),INDIRECT("PQ_Base_Opcoes_Formatada["&amp;HZ$1&amp;"]")&lt;&gt;"")),"")</f>
        <v/>
      </c>
      <c r="IA2" t="str" cm="1">
        <f t="array" aca="1" ref="IA2" ca="1">IFERROR(_xlfn.UNIQUE(_xlfn._xlws.FILTER(INDIRECT("PQ_Base_Opcoes_Formatada["&amp;IA$1&amp;"]"),INDIRECT("PQ_Base_Opcoes_Formatada["&amp;IA$1&amp;"]")&lt;&gt;"")),"")</f>
        <v/>
      </c>
      <c r="IB2" t="str" cm="1">
        <f t="array" aca="1" ref="IB2" ca="1">IFERROR(_xlfn.UNIQUE(_xlfn._xlws.FILTER(INDIRECT("PQ_Base_Opcoes_Formatada["&amp;IB$1&amp;"]"),INDIRECT("PQ_Base_Opcoes_Formatada["&amp;IB$1&amp;"]")&lt;&gt;"")),"")</f>
        <v/>
      </c>
      <c r="IC2" t="str" cm="1">
        <f t="array" aca="1" ref="IC2" ca="1">IFERROR(_xlfn.UNIQUE(_xlfn._xlws.FILTER(INDIRECT("PQ_Base_Opcoes_Formatada["&amp;IC$1&amp;"]"),INDIRECT("PQ_Base_Opcoes_Formatada["&amp;IC$1&amp;"]")&lt;&gt;"")),"")</f>
        <v/>
      </c>
      <c r="ID2" t="str" cm="1">
        <f t="array" aca="1" ref="ID2" ca="1">IFERROR(_xlfn.UNIQUE(_xlfn._xlws.FILTER(INDIRECT("PQ_Base_Opcoes_Formatada["&amp;ID$1&amp;"]"),INDIRECT("PQ_Base_Opcoes_Formatada["&amp;ID$1&amp;"]")&lt;&gt;"")),"")</f>
        <v/>
      </c>
      <c r="IE2" t="str" cm="1">
        <f t="array" aca="1" ref="IE2" ca="1">IFERROR(_xlfn.UNIQUE(_xlfn._xlws.FILTER(INDIRECT("PQ_Base_Opcoes_Formatada["&amp;IE$1&amp;"]"),INDIRECT("PQ_Base_Opcoes_Formatada["&amp;IE$1&amp;"]")&lt;&gt;"")),"")</f>
        <v/>
      </c>
      <c r="IF2" t="str" cm="1">
        <f t="array" aca="1" ref="IF2" ca="1">IFERROR(_xlfn.UNIQUE(_xlfn._xlws.FILTER(INDIRECT("PQ_Base_Opcoes_Formatada["&amp;IF$1&amp;"]"),INDIRECT("PQ_Base_Opcoes_Formatada["&amp;IF$1&amp;"]")&lt;&gt;"")),"")</f>
        <v/>
      </c>
      <c r="IG2" t="str" cm="1">
        <f t="array" aca="1" ref="IG2" ca="1">IFERROR(_xlfn.UNIQUE(_xlfn._xlws.FILTER(INDIRECT("PQ_Base_Opcoes_Formatada["&amp;IG$1&amp;"]"),INDIRECT("PQ_Base_Opcoes_Formatada["&amp;IG$1&amp;"]")&lt;&gt;"")),"")</f>
        <v/>
      </c>
      <c r="IH2" t="str" cm="1">
        <f t="array" aca="1" ref="IH2" ca="1">IFERROR(_xlfn.UNIQUE(_xlfn._xlws.FILTER(INDIRECT("PQ_Base_Opcoes_Formatada["&amp;IH$1&amp;"]"),INDIRECT("PQ_Base_Opcoes_Formatada["&amp;IH$1&amp;"]")&lt;&gt;"")),"")</f>
        <v/>
      </c>
      <c r="II2" t="str" cm="1">
        <f t="array" aca="1" ref="II2" ca="1">IFERROR(_xlfn.UNIQUE(_xlfn._xlws.FILTER(INDIRECT("PQ_Base_Opcoes_Formatada["&amp;II$1&amp;"]"),INDIRECT("PQ_Base_Opcoes_Formatada["&amp;II$1&amp;"]")&lt;&gt;"")),"")</f>
        <v/>
      </c>
      <c r="IJ2" t="str" cm="1">
        <f t="array" aca="1" ref="IJ2" ca="1">IFERROR(_xlfn.UNIQUE(_xlfn._xlws.FILTER(INDIRECT("PQ_Base_Opcoes_Formatada["&amp;IJ$1&amp;"]"),INDIRECT("PQ_Base_Opcoes_Formatada["&amp;IJ$1&amp;"]")&lt;&gt;"")),"")</f>
        <v/>
      </c>
      <c r="IK2" t="str" cm="1">
        <f t="array" aca="1" ref="IK2" ca="1">IFERROR(_xlfn.UNIQUE(_xlfn._xlws.FILTER(INDIRECT("PQ_Base_Opcoes_Formatada["&amp;IK$1&amp;"]"),INDIRECT("PQ_Base_Opcoes_Formatada["&amp;IK$1&amp;"]")&lt;&gt;"")),"")</f>
        <v/>
      </c>
      <c r="IL2" t="str" cm="1">
        <f t="array" aca="1" ref="IL2" ca="1">IFERROR(_xlfn.UNIQUE(_xlfn._xlws.FILTER(INDIRECT("PQ_Base_Opcoes_Formatada["&amp;IL$1&amp;"]"),INDIRECT("PQ_Base_Opcoes_Formatada["&amp;IL$1&amp;"]")&lt;&gt;"")),"")</f>
        <v/>
      </c>
      <c r="IM2" t="str" cm="1">
        <f t="array" aca="1" ref="IM2" ca="1">IFERROR(_xlfn.UNIQUE(_xlfn._xlws.FILTER(INDIRECT("PQ_Base_Opcoes_Formatada["&amp;IM$1&amp;"]"),INDIRECT("PQ_Base_Opcoes_Formatada["&amp;IM$1&amp;"]")&lt;&gt;"")),"")</f>
        <v/>
      </c>
      <c r="IN2" t="str" cm="1">
        <f t="array" aca="1" ref="IN2" ca="1">IFERROR(_xlfn.UNIQUE(_xlfn._xlws.FILTER(INDIRECT("PQ_Base_Opcoes_Formatada["&amp;IN$1&amp;"]"),INDIRECT("PQ_Base_Opcoes_Formatada["&amp;IN$1&amp;"]")&lt;&gt;"")),"")</f>
        <v/>
      </c>
    </row>
    <row r="3" spans="1:248" x14ac:dyDescent="0.35">
      <c r="A3" t="str">
        <f ca="1"/>
        <v>BAR</v>
      </c>
      <c r="B3" t="str">
        <f ca="1"/>
        <v>APPLE ONE</v>
      </c>
      <c r="C3" t="str">
        <f ca="1"/>
        <v>CABELEIREIRO</v>
      </c>
      <c r="D3" t="str">
        <f ca="1"/>
        <v>FACULDADE</v>
      </c>
      <c r="E3" t="str">
        <f ca="1"/>
        <v>EMPRESTIMO</v>
      </c>
      <c r="F3" t="str">
        <f ca="1"/>
        <v>CINEMA</v>
      </c>
      <c r="G3" t="str">
        <f ca="1"/>
        <v>ALUGUEL</v>
      </c>
      <c r="H3" t="str">
        <f ca="1"/>
        <v>DOACOES</v>
      </c>
      <c r="I3" t="str">
        <f ca="1"/>
        <v>BANHO</v>
      </c>
      <c r="J3" t="str">
        <f ca="1"/>
        <v>ALUGUEL RECEBIDO</v>
      </c>
      <c r="K3" t="str">
        <f ca="1"/>
        <v>CROSSFIT</v>
      </c>
      <c r="L3" t="str">
        <f ca="1"/>
        <v>AMAZON</v>
      </c>
      <c r="M3" t="str">
        <f ca="1"/>
        <v>COMBUSTIVEL</v>
      </c>
      <c r="N3" t="str">
        <f ca="1"/>
        <v>ASSINATURA</v>
      </c>
      <c r="O3" t="str">
        <f ca="1"/>
        <v>ANUAL</v>
      </c>
      <c r="P3" t="str">
        <f ca="1"/>
        <v>CARTAO CREDITO</v>
      </c>
      <c r="Q3" t="str">
        <f ca="1"/>
        <v>NINE</v>
      </c>
      <c r="R3" t="str">
        <f ca="1"/>
        <v>INATIVO</v>
      </c>
      <c r="S3" t="str">
        <f ca="1"/>
        <v>PENDENTE</v>
      </c>
      <c r="T3" t="str">
        <f ca="1"/>
        <v>ENTRADA</v>
      </c>
    </row>
    <row r="4" spans="1:248" x14ac:dyDescent="0.35">
      <c r="A4" t="str">
        <f ca="1"/>
        <v>CAFETERIA</v>
      </c>
      <c r="B4" t="str">
        <f ca="1"/>
        <v>CELULAR CONTROLE</v>
      </c>
      <c r="C4" t="str">
        <f ca="1"/>
        <v>COSMETICOS</v>
      </c>
      <c r="D4" t="str">
        <f ca="1"/>
        <v>IDIOMAS</v>
      </c>
      <c r="E4" t="str">
        <f ca="1"/>
        <v>FATURA A PAGAR</v>
      </c>
      <c r="F4" t="str">
        <f ca="1"/>
        <v>CLUBE</v>
      </c>
      <c r="G4" t="str">
        <f ca="1"/>
        <v>ARTIGOS PARA CASA</v>
      </c>
      <c r="H4" t="str">
        <f ca="1"/>
        <v>GASTOS VARIADOS</v>
      </c>
      <c r="I4" t="str">
        <f ca="1"/>
        <v>HOTEL PARA PETS</v>
      </c>
      <c r="J4" t="str">
        <f ca="1"/>
        <v>BENEFICIOS TRABALHISTAS</v>
      </c>
      <c r="K4" t="str">
        <f ca="1"/>
        <v>DENTISTA</v>
      </c>
      <c r="L4" t="str">
        <f ca="1"/>
        <v>CALCADOS</v>
      </c>
      <c r="M4" t="str">
        <f ca="1"/>
        <v>ESTACIONAMENTO</v>
      </c>
      <c r="N4" t="str">
        <f ca="1"/>
        <v>BELEZA_PESSOAL</v>
      </c>
      <c r="O4" t="str">
        <f ca="1"/>
        <v>SEMANAL</v>
      </c>
      <c r="P4" t="str">
        <f ca="1"/>
        <v>CARTAO DEBITO</v>
      </c>
      <c r="Q4" t="str">
        <f ca="1"/>
        <v>SERGIO</v>
      </c>
      <c r="S4" t="str">
        <f ca="1"/>
        <v>EMITIDO</v>
      </c>
    </row>
    <row r="5" spans="1:248" x14ac:dyDescent="0.35">
      <c r="A5" t="str">
        <f ca="1"/>
        <v>CONVENIENCIA</v>
      </c>
      <c r="B5" t="str">
        <f ca="1"/>
        <v>CELULAR PRE-PAGO</v>
      </c>
      <c r="C5" t="str">
        <f ca="1"/>
        <v>DEPILACAO</v>
      </c>
      <c r="D5" t="str">
        <f ca="1"/>
        <v>LIVROS TECNICOS</v>
      </c>
      <c r="E5" t="str">
        <f ca="1"/>
        <v>IOF</v>
      </c>
      <c r="F5" t="str">
        <f ca="1"/>
        <v>HOBBIES</v>
      </c>
      <c r="G5" t="str">
        <f ca="1"/>
        <v>CHAVEIRO</v>
      </c>
      <c r="H5" t="str">
        <f ca="1"/>
        <v>IMPOSTO DE RENDA A PAGAR</v>
      </c>
      <c r="I5" t="str">
        <f ca="1"/>
        <v>MEDICAMENTOS PET</v>
      </c>
      <c r="J5" t="str">
        <f ca="1"/>
        <v>BONUS</v>
      </c>
      <c r="K5" t="str">
        <f ca="1"/>
        <v>EXAMES</v>
      </c>
      <c r="L5" t="str">
        <f ca="1"/>
        <v>ELETRONICOS</v>
      </c>
      <c r="M5" t="str">
        <f ca="1"/>
        <v>IPVA</v>
      </c>
      <c r="N5" t="str">
        <f ca="1"/>
        <v>EDUCACAO</v>
      </c>
      <c r="O5" t="str">
        <f ca="1"/>
        <v>QUINZENAL</v>
      </c>
      <c r="P5" t="str">
        <f ca="1"/>
        <v>BOLETO</v>
      </c>
      <c r="Q5" t="str">
        <f ca="1"/>
        <v>VICTOR</v>
      </c>
      <c r="S5" t="str">
        <f ca="1"/>
        <v>ATRASADO</v>
      </c>
    </row>
    <row r="6" spans="1:248" x14ac:dyDescent="0.35">
      <c r="A6" t="str">
        <f ca="1"/>
        <v>DELIVERY APP</v>
      </c>
      <c r="B6" t="str">
        <f ca="1"/>
        <v>CHATGPT</v>
      </c>
      <c r="C6" t="str">
        <f ca="1"/>
        <v>ESTETICA</v>
      </c>
      <c r="D6" t="str">
        <f ca="1"/>
        <v>MATERIAL DE PAPELARIA</v>
      </c>
      <c r="E6" t="str">
        <f ca="1"/>
        <v>JUROS DE CHEQUE ESPECIAL</v>
      </c>
      <c r="F6" t="str">
        <f ca="1"/>
        <v>JOGOS DIGITAIS</v>
      </c>
      <c r="G6" t="str">
        <f ca="1"/>
        <v>CONDOMINIO</v>
      </c>
      <c r="H6" t="str">
        <f ca="1"/>
        <v>SAQUE EM ESPECIE</v>
      </c>
      <c r="I6" t="str">
        <f ca="1"/>
        <v>PASSEADOR</v>
      </c>
      <c r="J6" t="str">
        <f ca="1"/>
        <v>CASHBACK</v>
      </c>
      <c r="K6" t="str">
        <f ca="1"/>
        <v>FARMACIA</v>
      </c>
      <c r="L6" t="str">
        <f ca="1"/>
        <v>JOGOS DIGITAIS</v>
      </c>
      <c r="M6" t="str">
        <f ca="1"/>
        <v>LAVAGEM AUTOMOTIVA</v>
      </c>
      <c r="N6" t="str">
        <f ca="1"/>
        <v>FINANCEIRO</v>
      </c>
      <c r="O6" t="str">
        <f ca="1"/>
        <v>TRIMESTRAL</v>
      </c>
      <c r="P6" t="str">
        <f ca="1"/>
        <v>DEBITO AUTOMATICO</v>
      </c>
      <c r="S6" t="str">
        <f ca="1"/>
        <v>REEMBOLSO</v>
      </c>
    </row>
    <row r="7" spans="1:248" x14ac:dyDescent="0.35">
      <c r="A7" t="str">
        <f ca="1"/>
        <v>FAST FOOD</v>
      </c>
      <c r="B7" t="str">
        <f ca="1"/>
        <v>CLAUDE</v>
      </c>
      <c r="C7" t="str">
        <f ca="1"/>
        <v>MANICURE</v>
      </c>
      <c r="D7" t="str">
        <f ca="1"/>
        <v>MENTORIA</v>
      </c>
      <c r="E7" t="str">
        <f ca="1"/>
        <v>MULTAS POR ATRASO</v>
      </c>
      <c r="F7" t="str">
        <f ca="1"/>
        <v>MUSEU</v>
      </c>
      <c r="G7" t="str">
        <f ca="1"/>
        <v>DECORACAO</v>
      </c>
      <c r="H7" t="str">
        <f ca="1"/>
        <v>UPGRADE NOTEBOOK</v>
      </c>
      <c r="I7" t="str">
        <f ca="1"/>
        <v>PETISCOS</v>
      </c>
      <c r="J7" t="str">
        <f ca="1"/>
        <v>COMISSAO</v>
      </c>
      <c r="K7" t="str">
        <f ca="1"/>
        <v>FISIOTERAPIA</v>
      </c>
      <c r="L7" t="str">
        <f ca="1"/>
        <v>LICENCA DIGITAL</v>
      </c>
      <c r="M7" t="str">
        <f ca="1"/>
        <v>LICENCIAMENTO</v>
      </c>
      <c r="N7" t="str">
        <f ca="1"/>
        <v>LAZER</v>
      </c>
      <c r="O7" t="str">
        <f ca="1"/>
        <v>SEMESTRAL</v>
      </c>
      <c r="P7" t="str">
        <f ca="1"/>
        <v>DINHEIRO</v>
      </c>
    </row>
    <row r="8" spans="1:248" x14ac:dyDescent="0.35">
      <c r="A8" t="str">
        <f ca="1"/>
        <v>FEIRA LIVRE</v>
      </c>
      <c r="B8" t="str">
        <f ca="1"/>
        <v>CLUBE IFOOD</v>
      </c>
      <c r="C8" t="str">
        <f ca="1"/>
        <v>MASSAGEM</v>
      </c>
      <c r="D8" t="str">
        <f ca="1"/>
        <v>POS-GRADUACAO</v>
      </c>
      <c r="E8" t="str">
        <f ca="1"/>
        <v>PAGAMENTO DE FATURA</v>
      </c>
      <c r="F8" t="str">
        <f ca="1"/>
        <v>PARQUE</v>
      </c>
      <c r="G8" t="str">
        <f ca="1"/>
        <v>DEDETIZACAO</v>
      </c>
      <c r="I8" t="str">
        <f ca="1"/>
        <v>RACAO</v>
      </c>
      <c r="J8" t="str">
        <f ca="1"/>
        <v>DEPOSITO</v>
      </c>
      <c r="K8" t="str">
        <f ca="1"/>
        <v>FONOAUDIOLOGO</v>
      </c>
      <c r="L8" t="str">
        <f ca="1"/>
        <v>MERCADO LIVRE</v>
      </c>
      <c r="M8" t="str">
        <f ca="1"/>
        <v>MECANICA</v>
      </c>
      <c r="N8" t="str">
        <f ca="1"/>
        <v>MORADIA</v>
      </c>
      <c r="O8" t="str">
        <f ca="1"/>
        <v>BIMESTRAL</v>
      </c>
      <c r="P8" t="str">
        <f ca="1"/>
        <v>TRANSFERENCIA</v>
      </c>
    </row>
    <row r="9" spans="1:248" x14ac:dyDescent="0.35">
      <c r="A9" t="str">
        <f ca="1"/>
        <v>HORTIFRUTI</v>
      </c>
      <c r="B9" t="str">
        <f ca="1"/>
        <v>COPILOT</v>
      </c>
      <c r="C9" t="str">
        <f ca="1"/>
        <v>PEDICURE</v>
      </c>
      <c r="D9" t="str">
        <f ca="1"/>
        <v>WORKSHOPS</v>
      </c>
      <c r="E9" t="str">
        <f ca="1"/>
        <v>REEMBOLSO A TERCEIROS</v>
      </c>
      <c r="F9" t="str">
        <f ca="1"/>
        <v>SHOWS</v>
      </c>
      <c r="G9" t="str">
        <f ca="1"/>
        <v>DIARISTA</v>
      </c>
      <c r="I9" t="str">
        <f ca="1"/>
        <v>REMEDIO</v>
      </c>
      <c r="J9" t="str">
        <f ca="1"/>
        <v>DIVIDENDOS</v>
      </c>
      <c r="K9" t="str">
        <f ca="1"/>
        <v>HOSPITAL</v>
      </c>
      <c r="L9" t="str">
        <f ca="1"/>
        <v>PLAY STORE</v>
      </c>
      <c r="M9" t="str">
        <f ca="1"/>
        <v>METRO</v>
      </c>
      <c r="N9" t="str">
        <f ca="1"/>
        <v>OUTROS</v>
      </c>
      <c r="P9" t="str">
        <f ca="1"/>
        <v>VALE BENEFICIO</v>
      </c>
    </row>
    <row r="10" spans="1:248" x14ac:dyDescent="0.35">
      <c r="A10" t="str">
        <f ca="1"/>
        <v>PADARIA</v>
      </c>
      <c r="B10" t="str">
        <f ca="1"/>
        <v>CREDITOS DE API</v>
      </c>
      <c r="C10" t="str">
        <f ca="1"/>
        <v>PERFUMARIA</v>
      </c>
      <c r="E10" t="str">
        <f ca="1"/>
        <v>SEGURO DE VIDA</v>
      </c>
      <c r="F10" t="str">
        <f ca="1"/>
        <v>TEATRO</v>
      </c>
      <c r="G10" t="str">
        <f ca="1"/>
        <v>ENERGIA ELETRICA</v>
      </c>
      <c r="I10" t="str">
        <f ca="1"/>
        <v>TOSA</v>
      </c>
      <c r="J10" t="str">
        <f ca="1"/>
        <v>FERIAS</v>
      </c>
      <c r="K10" t="str">
        <f ca="1"/>
        <v>LABORATORIO</v>
      </c>
      <c r="L10" t="str">
        <f ca="1"/>
        <v>PRESENTES</v>
      </c>
      <c r="M10" t="str">
        <f ca="1"/>
        <v>MULTA DE TRANSITO</v>
      </c>
      <c r="N10" t="str">
        <f ca="1"/>
        <v>PETS</v>
      </c>
      <c r="P10" t="str">
        <f ca="1"/>
        <v>DEBITO EM CONTA</v>
      </c>
    </row>
    <row r="11" spans="1:248" x14ac:dyDescent="0.35">
      <c r="A11" t="str">
        <f ca="1"/>
        <v>RESTAURANTE</v>
      </c>
      <c r="B11" t="str">
        <f ca="1"/>
        <v>CURSOR</v>
      </c>
      <c r="E11" t="str">
        <f ca="1"/>
        <v>TARIFA BANCARIA</v>
      </c>
      <c r="F11" t="str">
        <f ca="1"/>
        <v>VIAGEM HOSPEDAGEM</v>
      </c>
      <c r="G11" t="str">
        <f ca="1"/>
        <v>FERRAMENTAS</v>
      </c>
      <c r="I11" t="str">
        <f ca="1"/>
        <v>VETERINARIO</v>
      </c>
      <c r="J11" t="str">
        <f ca="1"/>
        <v>FREELANCE</v>
      </c>
      <c r="K11" t="str">
        <f ca="1"/>
        <v>MEDICO ESPECIALISTA</v>
      </c>
      <c r="L11" t="str">
        <f ca="1"/>
        <v>ROUPAS</v>
      </c>
      <c r="M11" t="str">
        <f ca="1"/>
        <v>ONIBUS</v>
      </c>
      <c r="N11" t="str">
        <f ca="1"/>
        <v>RECEITA</v>
      </c>
    </row>
    <row r="12" spans="1:248" x14ac:dyDescent="0.35">
      <c r="A12" t="str">
        <f ca="1"/>
        <v>SORVETERIA</v>
      </c>
      <c r="B12" t="str">
        <f ca="1"/>
        <v>DEEPSEEK</v>
      </c>
      <c r="E12" t="str">
        <f ca="1"/>
        <v>TAXA DE CARTAO</v>
      </c>
      <c r="F12" t="str">
        <f ca="1"/>
        <v>VIAGEM PASSAGEM AEREA</v>
      </c>
      <c r="G12" t="str">
        <f ca="1"/>
        <v>GAS ENCANADO</v>
      </c>
      <c r="J12" t="str">
        <f ca="1"/>
        <v>PLR</v>
      </c>
      <c r="K12" t="str">
        <f ca="1"/>
        <v>NUTRICIONISTA</v>
      </c>
      <c r="L12" t="str">
        <f ca="1"/>
        <v>SHOPEE</v>
      </c>
      <c r="M12" t="str">
        <f ca="1"/>
        <v>PEDAGIO</v>
      </c>
      <c r="N12" t="str">
        <f ca="1"/>
        <v>SAUDE</v>
      </c>
    </row>
    <row r="13" spans="1:248" x14ac:dyDescent="0.35">
      <c r="A13" t="str">
        <f ca="1"/>
        <v>SUPERMERCADO</v>
      </c>
      <c r="B13" t="str">
        <f ca="1"/>
        <v>DISCORD NITRO</v>
      </c>
      <c r="F13" t="str">
        <f ca="1"/>
        <v>VIAGEM PASSEIOS</v>
      </c>
      <c r="G13" t="str">
        <f ca="1"/>
        <v>IPTU</v>
      </c>
      <c r="J13" t="str">
        <f ca="1"/>
        <v>PRESENTE EM DINHEIRO</v>
      </c>
      <c r="K13" t="str">
        <f ca="1"/>
        <v>PERSONAL TRAINER</v>
      </c>
      <c r="M13" t="str">
        <f ca="1"/>
        <v>RECARGA BILHETE UNICO</v>
      </c>
      <c r="N13" t="str">
        <f ca="1"/>
        <v>SHOPPING</v>
      </c>
    </row>
    <row r="14" spans="1:248" x14ac:dyDescent="0.35">
      <c r="B14" t="str">
        <f ca="1"/>
        <v>DISNEY PLUS</v>
      </c>
      <c r="G14" t="str">
        <f ca="1"/>
        <v>JARDINAGEM</v>
      </c>
      <c r="J14" t="str">
        <f ca="1"/>
        <v>REEMBOLSO RECEBIDO</v>
      </c>
      <c r="K14" t="str">
        <f ca="1"/>
        <v>PILATES</v>
      </c>
      <c r="M14" t="str">
        <f ca="1"/>
        <v>SEGURO AUTO</v>
      </c>
      <c r="N14" t="str">
        <f ca="1"/>
        <v>TRANSPORTE</v>
      </c>
    </row>
    <row r="15" spans="1:248" x14ac:dyDescent="0.35">
      <c r="B15" t="str">
        <f ca="1"/>
        <v>GEMINI</v>
      </c>
      <c r="G15" t="str">
        <f ca="1"/>
        <v>LAVANDERIA</v>
      </c>
      <c r="J15" t="str">
        <f ca="1"/>
        <v>RESGATE INVESTIMENTO</v>
      </c>
      <c r="K15" t="str">
        <f ca="1"/>
        <v>PLANO DE SAUDE</v>
      </c>
      <c r="M15" t="str">
        <f ca="1"/>
        <v>TAXI</v>
      </c>
    </row>
    <row r="16" spans="1:248" x14ac:dyDescent="0.35">
      <c r="B16" t="str">
        <f ca="1"/>
        <v>GLOBOPLAY</v>
      </c>
      <c r="G16" t="str">
        <f ca="1"/>
        <v>MANUTENCAO GERAL</v>
      </c>
      <c r="J16" t="str">
        <f ca="1"/>
        <v>RESTITUICAO IR</v>
      </c>
      <c r="K16" t="str">
        <f ca="1"/>
        <v>PSICOLOGO</v>
      </c>
      <c r="M16" t="str">
        <f ca="1"/>
        <v>TRANSPORTE POR APP</v>
      </c>
    </row>
    <row r="17" spans="2:11" x14ac:dyDescent="0.35">
      <c r="B17" t="str">
        <f ca="1"/>
        <v>GOOGLE ONE</v>
      </c>
      <c r="G17" t="str">
        <f ca="1"/>
        <v>MARCENEIRO</v>
      </c>
      <c r="J17" t="str">
        <f ca="1"/>
        <v>SALARIO</v>
      </c>
      <c r="K17" t="str">
        <f ca="1"/>
        <v>PSIQUIATRA</v>
      </c>
    </row>
    <row r="18" spans="2:11" x14ac:dyDescent="0.35">
      <c r="B18" t="str">
        <f ca="1"/>
        <v>GROK</v>
      </c>
      <c r="G18" t="str">
        <f ca="1"/>
        <v>MOVEIS</v>
      </c>
      <c r="J18" t="str">
        <f ca="1"/>
        <v>VENDA DE ITENS</v>
      </c>
      <c r="K18" t="str">
        <f ca="1"/>
        <v>SUPLEMENTOS</v>
      </c>
    </row>
    <row r="19" spans="2:11" x14ac:dyDescent="0.35">
      <c r="B19" t="str">
        <f ca="1"/>
        <v>HBO MAX</v>
      </c>
      <c r="G19" t="str">
        <f ca="1"/>
        <v>REFORMA</v>
      </c>
      <c r="K19" t="str">
        <f ca="1"/>
        <v>TERAPIA ALTERNATIVA</v>
      </c>
    </row>
    <row r="20" spans="2:11" x14ac:dyDescent="0.35">
      <c r="B20" t="str">
        <f ca="1"/>
        <v>INTERNET FIBRA</v>
      </c>
      <c r="G20" t="str">
        <f ca="1"/>
        <v>SEGURANCA MONITORADA</v>
      </c>
      <c r="K20" t="str">
        <f ca="1"/>
        <v>VACINAS</v>
      </c>
    </row>
    <row r="21" spans="2:11" x14ac:dyDescent="0.35">
      <c r="B21" t="str">
        <f ca="1"/>
        <v>JORNAL DIGITAL</v>
      </c>
      <c r="G21" t="str">
        <f ca="1"/>
        <v>SEGURO INCENDIO</v>
      </c>
    </row>
    <row r="22" spans="2:11" x14ac:dyDescent="0.35">
      <c r="B22" t="str">
        <f ca="1"/>
        <v>KDPLAY</v>
      </c>
    </row>
    <row r="23" spans="2:11" x14ac:dyDescent="0.35">
      <c r="B23" t="str">
        <f ca="1"/>
        <v>KINDLE</v>
      </c>
    </row>
    <row r="24" spans="2:11" x14ac:dyDescent="0.35">
      <c r="B24" t="str">
        <f ca="1"/>
        <v>MICROSOFT 365</v>
      </c>
    </row>
    <row r="25" spans="2:11" x14ac:dyDescent="0.35">
      <c r="B25" t="str">
        <f ca="1"/>
        <v>MIDJOURNEY</v>
      </c>
    </row>
    <row r="26" spans="2:11" x14ac:dyDescent="0.35">
      <c r="B26" t="str">
        <f ca="1"/>
        <v>NETFLIX</v>
      </c>
    </row>
    <row r="27" spans="2:11" x14ac:dyDescent="0.35">
      <c r="B27" t="str">
        <f ca="1"/>
        <v>OUTROS</v>
      </c>
    </row>
    <row r="28" spans="2:11" x14ac:dyDescent="0.35">
      <c r="B28" t="str">
        <f ca="1"/>
        <v>PARAMOUNT</v>
      </c>
    </row>
    <row r="29" spans="2:11" x14ac:dyDescent="0.35">
      <c r="B29" t="str">
        <f ca="1"/>
        <v>POWER BI</v>
      </c>
    </row>
    <row r="30" spans="2:11" x14ac:dyDescent="0.35">
      <c r="B30" t="str">
        <f ca="1"/>
        <v>SERVIDOR CLOUD</v>
      </c>
    </row>
    <row r="31" spans="2:11" x14ac:dyDescent="0.35">
      <c r="B31" t="str">
        <f ca="1"/>
        <v>SOFTWARE LICENCA</v>
      </c>
    </row>
    <row r="32" spans="2:11" x14ac:dyDescent="0.35">
      <c r="B32" t="str">
        <f ca="1"/>
        <v>SPOTIFY</v>
      </c>
    </row>
    <row r="33" spans="2:2" x14ac:dyDescent="0.35">
      <c r="B33" t="str">
        <f ca="1"/>
        <v>TV A CABO</v>
      </c>
    </row>
    <row r="34" spans="2:2" x14ac:dyDescent="0.35">
      <c r="B34" t="str">
        <f ca="1"/>
        <v>TWITCH</v>
      </c>
    </row>
    <row r="35" spans="2:2" x14ac:dyDescent="0.35">
      <c r="B35" t="str">
        <f ca="1"/>
        <v>WINDSURF</v>
      </c>
    </row>
    <row r="36" spans="2:2" x14ac:dyDescent="0.35">
      <c r="B36" t="str">
        <f ca="1"/>
        <v>YOUTUBE PREMIUM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 tint="0.34998626667073579"/>
  </sheetPr>
  <dimension ref="A1:AB37"/>
  <sheetViews>
    <sheetView showGridLines="0" topLeftCell="K1" zoomScale="70" zoomScaleNormal="70" workbookViewId="0">
      <pane ySplit="2" topLeftCell="A3" activePane="bottomLeft" state="frozen"/>
      <selection pane="bottomLeft" activeCell="Q19" sqref="Q19"/>
    </sheetView>
  </sheetViews>
  <sheetFormatPr defaultRowHeight="14.5" x14ac:dyDescent="0.35"/>
  <cols>
    <col min="1" max="1" width="19.26953125" customWidth="1"/>
    <col min="2" max="2" width="25.453125" customWidth="1"/>
    <col min="3" max="3" width="24.26953125" bestFit="1" customWidth="1"/>
    <col min="4" max="4" width="25.453125" customWidth="1"/>
    <col min="5" max="5" width="26.26953125" bestFit="1" customWidth="1"/>
    <col min="6" max="6" width="28.08984375" bestFit="1" customWidth="1"/>
    <col min="7" max="7" width="22.6328125" bestFit="1" customWidth="1"/>
    <col min="8" max="8" width="25.90625" bestFit="1" customWidth="1"/>
    <col min="9" max="9" width="25.90625" customWidth="1"/>
    <col min="10" max="10" width="26.7265625" bestFit="1" customWidth="1"/>
    <col min="11" max="11" width="24.453125" customWidth="1"/>
    <col min="12" max="12" width="27.6328125" bestFit="1" customWidth="1"/>
    <col min="13" max="13" width="27.6328125" customWidth="1"/>
    <col min="14" max="15" width="2.6328125" customWidth="1"/>
    <col min="16" max="16" width="20.26953125" bestFit="1" customWidth="1"/>
    <col min="17" max="17" width="13.36328125" customWidth="1"/>
    <col min="18" max="18" width="13.90625" customWidth="1"/>
    <col min="19" max="19" width="11.1796875" customWidth="1"/>
    <col min="20" max="21" width="2.6328125" customWidth="1"/>
    <col min="22" max="22" width="27.453125" customWidth="1"/>
    <col min="23" max="23" width="25.81640625" customWidth="1"/>
    <col min="24" max="24" width="23.453125" bestFit="1" customWidth="1"/>
    <col min="25" max="25" width="22.1796875" customWidth="1"/>
    <col min="26" max="26" width="23.90625" bestFit="1" customWidth="1"/>
    <col min="27" max="27" width="20.6328125" bestFit="1" customWidth="1"/>
    <col min="28" max="28" width="28.90625" bestFit="1" customWidth="1"/>
    <col min="29" max="29" width="20.6328125" bestFit="1" customWidth="1"/>
  </cols>
  <sheetData>
    <row r="1" spans="1:28" s="4" customFormat="1" ht="15.5" customHeight="1" x14ac:dyDescent="0.35">
      <c r="A1" s="65" t="s">
        <v>228</v>
      </c>
      <c r="B1" s="65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/>
      <c r="O1"/>
      <c r="P1" s="66" t="s">
        <v>238</v>
      </c>
      <c r="Q1" s="66"/>
      <c r="R1" s="66"/>
      <c r="S1" s="66"/>
      <c r="T1"/>
      <c r="V1" s="65" t="s">
        <v>229</v>
      </c>
      <c r="W1" s="65"/>
      <c r="X1" s="65"/>
      <c r="Y1" s="65"/>
      <c r="Z1" s="65"/>
      <c r="AA1" s="65"/>
      <c r="AB1" s="65"/>
    </row>
    <row r="2" spans="1:28" x14ac:dyDescent="0.35">
      <c r="A2" s="28" t="s">
        <v>7</v>
      </c>
      <c r="B2" s="28" t="s">
        <v>176</v>
      </c>
      <c r="C2" s="28" t="s">
        <v>197</v>
      </c>
      <c r="D2" s="28" t="s">
        <v>21</v>
      </c>
      <c r="E2" s="28" t="s">
        <v>24</v>
      </c>
      <c r="F2" s="28" t="s">
        <v>26</v>
      </c>
      <c r="G2" s="28" t="s">
        <v>29</v>
      </c>
      <c r="H2" s="28" t="s">
        <v>63</v>
      </c>
      <c r="I2" s="28" t="s">
        <v>34</v>
      </c>
      <c r="J2" s="28" t="s">
        <v>36</v>
      </c>
      <c r="K2" s="28" t="s">
        <v>43</v>
      </c>
      <c r="L2" s="28" t="s">
        <v>50</v>
      </c>
      <c r="M2" s="28" t="s">
        <v>53</v>
      </c>
      <c r="P2" s="21" t="s">
        <v>241</v>
      </c>
      <c r="Q2" s="21" t="s">
        <v>200</v>
      </c>
      <c r="R2" s="21" t="s">
        <v>201</v>
      </c>
      <c r="S2" s="22" t="s">
        <v>198</v>
      </c>
      <c r="V2" s="31" t="s">
        <v>199</v>
      </c>
      <c r="W2" s="32" t="s">
        <v>243</v>
      </c>
      <c r="X2" s="32" t="s">
        <v>1</v>
      </c>
      <c r="Y2" s="31" t="s">
        <v>0</v>
      </c>
      <c r="Z2" s="32" t="s">
        <v>224</v>
      </c>
      <c r="AA2" s="32" t="s">
        <v>240</v>
      </c>
      <c r="AB2" s="32" t="s">
        <v>225</v>
      </c>
    </row>
    <row r="3" spans="1:28" x14ac:dyDescent="0.35">
      <c r="A3" t="s">
        <v>178</v>
      </c>
      <c r="B3" t="s">
        <v>75</v>
      </c>
      <c r="C3" t="s">
        <v>17</v>
      </c>
      <c r="D3" t="s">
        <v>88</v>
      </c>
      <c r="E3" t="s">
        <v>214</v>
      </c>
      <c r="F3" t="s">
        <v>99</v>
      </c>
      <c r="G3" t="s">
        <v>109</v>
      </c>
      <c r="H3" t="s">
        <v>153</v>
      </c>
      <c r="I3" t="s">
        <v>120</v>
      </c>
      <c r="J3" t="s">
        <v>192</v>
      </c>
      <c r="K3" t="s">
        <v>44</v>
      </c>
      <c r="L3" t="s">
        <v>142</v>
      </c>
      <c r="M3" t="s">
        <v>144</v>
      </c>
      <c r="P3" s="3"/>
      <c r="Q3" s="5"/>
      <c r="R3" s="5"/>
      <c r="S3" s="6"/>
      <c r="T3" s="33"/>
      <c r="V3" s="47" t="s">
        <v>7</v>
      </c>
      <c r="W3" t="s">
        <v>246</v>
      </c>
      <c r="X3" t="s">
        <v>4</v>
      </c>
      <c r="Y3" t="s">
        <v>259</v>
      </c>
      <c r="Z3" t="s">
        <v>168</v>
      </c>
      <c r="AA3" t="s">
        <v>175</v>
      </c>
      <c r="AB3" t="s">
        <v>217</v>
      </c>
    </row>
    <row r="4" spans="1:28" x14ac:dyDescent="0.35">
      <c r="A4" t="s">
        <v>66</v>
      </c>
      <c r="B4" t="s">
        <v>10</v>
      </c>
      <c r="C4" t="s">
        <v>18</v>
      </c>
      <c r="D4" t="s">
        <v>22</v>
      </c>
      <c r="E4" t="s">
        <v>184</v>
      </c>
      <c r="F4" t="s">
        <v>27</v>
      </c>
      <c r="G4" t="s">
        <v>30</v>
      </c>
      <c r="H4" t="s">
        <v>190</v>
      </c>
      <c r="I4" t="s">
        <v>121</v>
      </c>
      <c r="J4" t="s">
        <v>126</v>
      </c>
      <c r="K4" t="s">
        <v>129</v>
      </c>
      <c r="L4" t="s">
        <v>220</v>
      </c>
      <c r="M4" t="s">
        <v>196</v>
      </c>
      <c r="V4" s="57" t="s">
        <v>176</v>
      </c>
      <c r="W4" t="s">
        <v>250</v>
      </c>
      <c r="X4" t="s">
        <v>2</v>
      </c>
      <c r="Y4" t="s">
        <v>260</v>
      </c>
      <c r="Z4" t="s">
        <v>177</v>
      </c>
      <c r="AA4" t="s">
        <v>208</v>
      </c>
      <c r="AB4" t="s">
        <v>218</v>
      </c>
    </row>
    <row r="5" spans="1:28" x14ac:dyDescent="0.35">
      <c r="A5" t="s">
        <v>67</v>
      </c>
      <c r="B5" t="s">
        <v>85</v>
      </c>
      <c r="C5" t="s">
        <v>180</v>
      </c>
      <c r="D5" t="s">
        <v>23</v>
      </c>
      <c r="E5" t="s">
        <v>169</v>
      </c>
      <c r="F5" t="s">
        <v>100</v>
      </c>
      <c r="G5" t="s">
        <v>110</v>
      </c>
      <c r="H5" t="s">
        <v>231</v>
      </c>
      <c r="I5" t="s">
        <v>122</v>
      </c>
      <c r="J5" t="s">
        <v>213</v>
      </c>
      <c r="K5" t="s">
        <v>45</v>
      </c>
      <c r="L5" t="s">
        <v>143</v>
      </c>
      <c r="M5" t="s">
        <v>54</v>
      </c>
      <c r="V5" s="48" t="s">
        <v>197</v>
      </c>
      <c r="W5" t="s">
        <v>244</v>
      </c>
      <c r="X5" t="s">
        <v>3</v>
      </c>
      <c r="AA5" t="s">
        <v>223</v>
      </c>
    </row>
    <row r="6" spans="1:28" x14ac:dyDescent="0.35">
      <c r="A6" t="s">
        <v>68</v>
      </c>
      <c r="B6" t="s">
        <v>86</v>
      </c>
      <c r="C6" t="s">
        <v>181</v>
      </c>
      <c r="D6" t="s">
        <v>89</v>
      </c>
      <c r="E6" t="s">
        <v>60</v>
      </c>
      <c r="F6" t="s">
        <v>28</v>
      </c>
      <c r="G6" t="s">
        <v>111</v>
      </c>
      <c r="H6" t="s">
        <v>154</v>
      </c>
      <c r="I6" t="s">
        <v>123</v>
      </c>
      <c r="J6" t="s">
        <v>37</v>
      </c>
      <c r="K6" t="s">
        <v>130</v>
      </c>
      <c r="L6" t="s">
        <v>51</v>
      </c>
      <c r="M6" t="s">
        <v>62</v>
      </c>
      <c r="V6" s="49" t="s">
        <v>21</v>
      </c>
      <c r="W6" t="s">
        <v>245</v>
      </c>
      <c r="X6" t="s">
        <v>172</v>
      </c>
      <c r="AA6" t="s">
        <v>227</v>
      </c>
    </row>
    <row r="7" spans="1:28" x14ac:dyDescent="0.35">
      <c r="A7" t="s">
        <v>69</v>
      </c>
      <c r="B7" t="s">
        <v>158</v>
      </c>
      <c r="C7" t="s">
        <v>182</v>
      </c>
      <c r="D7" t="s">
        <v>90</v>
      </c>
      <c r="E7" t="s">
        <v>93</v>
      </c>
      <c r="F7" t="s">
        <v>101</v>
      </c>
      <c r="G7" t="s">
        <v>31</v>
      </c>
      <c r="H7" t="s">
        <v>155</v>
      </c>
      <c r="I7" t="s">
        <v>124</v>
      </c>
      <c r="J7" t="s">
        <v>38</v>
      </c>
      <c r="K7" t="s">
        <v>46</v>
      </c>
      <c r="L7" t="s">
        <v>101</v>
      </c>
      <c r="M7" t="s">
        <v>145</v>
      </c>
      <c r="V7" s="50" t="s">
        <v>24</v>
      </c>
      <c r="W7" t="s">
        <v>248</v>
      </c>
      <c r="X7" t="s">
        <v>156</v>
      </c>
      <c r="AA7" t="s">
        <v>257</v>
      </c>
    </row>
    <row r="8" spans="1:28" x14ac:dyDescent="0.35">
      <c r="A8" t="s">
        <v>70</v>
      </c>
      <c r="B8" t="s">
        <v>159</v>
      </c>
      <c r="C8" t="s">
        <v>19</v>
      </c>
      <c r="D8" t="s">
        <v>91</v>
      </c>
      <c r="E8" t="s">
        <v>94</v>
      </c>
      <c r="F8" t="s">
        <v>102</v>
      </c>
      <c r="G8" t="s">
        <v>186</v>
      </c>
      <c r="H8" t="s">
        <v>255</v>
      </c>
      <c r="I8" t="s">
        <v>222</v>
      </c>
      <c r="J8" t="s">
        <v>193</v>
      </c>
      <c r="K8" t="s">
        <v>131</v>
      </c>
      <c r="L8" t="s">
        <v>258</v>
      </c>
      <c r="M8" t="s">
        <v>146</v>
      </c>
      <c r="V8" s="51" t="s">
        <v>26</v>
      </c>
      <c r="W8" t="s">
        <v>249</v>
      </c>
      <c r="X8" t="s">
        <v>5</v>
      </c>
    </row>
    <row r="9" spans="1:28" x14ac:dyDescent="0.35">
      <c r="A9" t="s">
        <v>71</v>
      </c>
      <c r="B9" t="s">
        <v>207</v>
      </c>
      <c r="C9" t="s">
        <v>82</v>
      </c>
      <c r="D9" t="s">
        <v>183</v>
      </c>
      <c r="E9" t="s">
        <v>95</v>
      </c>
      <c r="F9" t="s">
        <v>103</v>
      </c>
      <c r="G9" t="s">
        <v>187</v>
      </c>
      <c r="I9" t="s">
        <v>191</v>
      </c>
      <c r="J9" t="s">
        <v>171</v>
      </c>
      <c r="K9" t="s">
        <v>132</v>
      </c>
      <c r="L9" t="s">
        <v>221</v>
      </c>
      <c r="M9" t="s">
        <v>147</v>
      </c>
      <c r="V9" s="52" t="s">
        <v>29</v>
      </c>
      <c r="W9" t="s">
        <v>247</v>
      </c>
      <c r="X9" t="s">
        <v>6</v>
      </c>
    </row>
    <row r="10" spans="1:28" x14ac:dyDescent="0.35">
      <c r="A10" t="s">
        <v>72</v>
      </c>
      <c r="B10" t="s">
        <v>160</v>
      </c>
      <c r="C10" t="s">
        <v>83</v>
      </c>
      <c r="D10" t="s">
        <v>92</v>
      </c>
      <c r="E10" t="s">
        <v>96</v>
      </c>
      <c r="F10" t="s">
        <v>104</v>
      </c>
      <c r="G10" t="s">
        <v>112</v>
      </c>
      <c r="I10" t="s">
        <v>254</v>
      </c>
      <c r="J10" t="s">
        <v>39</v>
      </c>
      <c r="K10" t="s">
        <v>133</v>
      </c>
      <c r="L10" t="s">
        <v>230</v>
      </c>
      <c r="M10" t="s">
        <v>148</v>
      </c>
      <c r="V10" s="53" t="s">
        <v>63</v>
      </c>
      <c r="X10" t="s">
        <v>157</v>
      </c>
    </row>
    <row r="11" spans="1:28" x14ac:dyDescent="0.35">
      <c r="A11" t="s">
        <v>73</v>
      </c>
      <c r="B11" t="s">
        <v>64</v>
      </c>
      <c r="C11" t="s">
        <v>84</v>
      </c>
      <c r="E11" t="s">
        <v>97</v>
      </c>
      <c r="F11" t="s">
        <v>105</v>
      </c>
      <c r="G11" t="s">
        <v>32</v>
      </c>
      <c r="I11" t="s">
        <v>125</v>
      </c>
      <c r="J11" t="s">
        <v>40</v>
      </c>
      <c r="K11" t="s">
        <v>134</v>
      </c>
      <c r="L11" t="s">
        <v>52</v>
      </c>
      <c r="M11" t="s">
        <v>149</v>
      </c>
      <c r="V11" s="54" t="s">
        <v>34</v>
      </c>
      <c r="X11" t="s">
        <v>170</v>
      </c>
    </row>
    <row r="12" spans="1:28" x14ac:dyDescent="0.35">
      <c r="A12" t="s">
        <v>8</v>
      </c>
      <c r="B12" t="s">
        <v>161</v>
      </c>
      <c r="E12" t="s">
        <v>98</v>
      </c>
      <c r="F12" t="s">
        <v>106</v>
      </c>
      <c r="G12" t="s">
        <v>216</v>
      </c>
      <c r="I12" t="s">
        <v>35</v>
      </c>
      <c r="J12" t="s">
        <v>41</v>
      </c>
      <c r="K12" t="s">
        <v>135</v>
      </c>
      <c r="L12" t="s">
        <v>173</v>
      </c>
      <c r="M12" t="s">
        <v>150</v>
      </c>
      <c r="V12" s="58" t="s">
        <v>36</v>
      </c>
    </row>
    <row r="13" spans="1:28" x14ac:dyDescent="0.35">
      <c r="A13" t="s">
        <v>74</v>
      </c>
      <c r="B13" t="s">
        <v>162</v>
      </c>
      <c r="E13" t="s">
        <v>185</v>
      </c>
      <c r="F13" t="s">
        <v>107</v>
      </c>
      <c r="G13" t="s">
        <v>113</v>
      </c>
      <c r="J13" t="s">
        <v>61</v>
      </c>
      <c r="K13" t="s">
        <v>136</v>
      </c>
      <c r="L13" t="s">
        <v>219</v>
      </c>
      <c r="M13" t="s">
        <v>55</v>
      </c>
      <c r="V13" s="55" t="s">
        <v>43</v>
      </c>
    </row>
    <row r="14" spans="1:28" x14ac:dyDescent="0.35">
      <c r="A14" t="s">
        <v>9</v>
      </c>
      <c r="B14" t="s">
        <v>234</v>
      </c>
      <c r="F14" t="s">
        <v>108</v>
      </c>
      <c r="G14" t="s">
        <v>33</v>
      </c>
      <c r="J14" t="s">
        <v>127</v>
      </c>
      <c r="K14" t="s">
        <v>137</v>
      </c>
      <c r="M14" t="s">
        <v>235</v>
      </c>
      <c r="V14" s="56" t="s">
        <v>50</v>
      </c>
    </row>
    <row r="15" spans="1:28" x14ac:dyDescent="0.35">
      <c r="B15" t="s">
        <v>76</v>
      </c>
      <c r="G15" t="s">
        <v>114</v>
      </c>
      <c r="J15" t="s">
        <v>128</v>
      </c>
      <c r="K15" t="s">
        <v>47</v>
      </c>
      <c r="M15" t="s">
        <v>56</v>
      </c>
      <c r="V15" s="59" t="s">
        <v>53</v>
      </c>
    </row>
    <row r="16" spans="1:28" x14ac:dyDescent="0.35">
      <c r="B16" t="s">
        <v>163</v>
      </c>
      <c r="G16" t="s">
        <v>115</v>
      </c>
      <c r="J16" t="s">
        <v>25</v>
      </c>
      <c r="K16" t="s">
        <v>48</v>
      </c>
      <c r="M16" t="s">
        <v>151</v>
      </c>
      <c r="V16" s="68"/>
    </row>
    <row r="17" spans="2:22" x14ac:dyDescent="0.35">
      <c r="B17" t="s">
        <v>77</v>
      </c>
      <c r="G17" t="s">
        <v>188</v>
      </c>
      <c r="J17" t="s">
        <v>194</v>
      </c>
      <c r="K17" t="s">
        <v>49</v>
      </c>
      <c r="M17" t="s">
        <v>152</v>
      </c>
      <c r="V17" s="68"/>
    </row>
    <row r="18" spans="2:22" x14ac:dyDescent="0.35">
      <c r="B18" t="s">
        <v>78</v>
      </c>
      <c r="G18" t="s">
        <v>116</v>
      </c>
      <c r="J18" t="s">
        <v>195</v>
      </c>
      <c r="K18" t="s">
        <v>138</v>
      </c>
      <c r="V18" s="68"/>
    </row>
    <row r="19" spans="2:22" x14ac:dyDescent="0.35">
      <c r="B19" t="s">
        <v>164</v>
      </c>
      <c r="G19" t="s">
        <v>117</v>
      </c>
      <c r="J19" t="s">
        <v>42</v>
      </c>
      <c r="K19" t="s">
        <v>139</v>
      </c>
    </row>
    <row r="20" spans="2:22" x14ac:dyDescent="0.35">
      <c r="B20" t="s">
        <v>11</v>
      </c>
      <c r="G20" t="s">
        <v>118</v>
      </c>
      <c r="K20" t="s">
        <v>140</v>
      </c>
    </row>
    <row r="21" spans="2:22" x14ac:dyDescent="0.35">
      <c r="B21" t="s">
        <v>20</v>
      </c>
      <c r="G21" t="s">
        <v>189</v>
      </c>
      <c r="K21" t="s">
        <v>141</v>
      </c>
    </row>
    <row r="22" spans="2:22" x14ac:dyDescent="0.35">
      <c r="B22" t="s">
        <v>79</v>
      </c>
      <c r="G22" t="s">
        <v>119</v>
      </c>
    </row>
    <row r="23" spans="2:22" x14ac:dyDescent="0.35">
      <c r="B23" t="s">
        <v>253</v>
      </c>
    </row>
    <row r="24" spans="2:22" x14ac:dyDescent="0.35">
      <c r="B24" t="s">
        <v>12</v>
      </c>
    </row>
    <row r="25" spans="2:22" x14ac:dyDescent="0.35">
      <c r="B25" t="s">
        <v>80</v>
      </c>
    </row>
    <row r="26" spans="2:22" x14ac:dyDescent="0.35">
      <c r="B26" t="s">
        <v>165</v>
      </c>
    </row>
    <row r="27" spans="2:22" x14ac:dyDescent="0.35">
      <c r="B27" t="s">
        <v>13</v>
      </c>
    </row>
    <row r="28" spans="2:22" x14ac:dyDescent="0.35">
      <c r="B28" t="s">
        <v>63</v>
      </c>
    </row>
    <row r="29" spans="2:22" x14ac:dyDescent="0.35">
      <c r="B29" t="s">
        <v>81</v>
      </c>
    </row>
    <row r="30" spans="2:22" x14ac:dyDescent="0.35">
      <c r="B30" t="s">
        <v>215</v>
      </c>
    </row>
    <row r="31" spans="2:22" x14ac:dyDescent="0.35">
      <c r="B31" t="s">
        <v>65</v>
      </c>
    </row>
    <row r="32" spans="2:22" x14ac:dyDescent="0.35">
      <c r="B32" t="s">
        <v>179</v>
      </c>
    </row>
    <row r="33" spans="2:2" x14ac:dyDescent="0.35">
      <c r="B33" t="s">
        <v>14</v>
      </c>
    </row>
    <row r="34" spans="2:2" x14ac:dyDescent="0.35">
      <c r="B34" t="s">
        <v>87</v>
      </c>
    </row>
    <row r="35" spans="2:2" x14ac:dyDescent="0.35">
      <c r="B35" t="s">
        <v>15</v>
      </c>
    </row>
    <row r="36" spans="2:2" x14ac:dyDescent="0.35">
      <c r="B36" t="s">
        <v>166</v>
      </c>
    </row>
    <row r="37" spans="2:2" x14ac:dyDescent="0.35">
      <c r="B37" t="s">
        <v>16</v>
      </c>
    </row>
  </sheetData>
  <mergeCells count="3">
    <mergeCell ref="A1:B1"/>
    <mergeCell ref="P1:S1"/>
    <mergeCell ref="V1:AB1"/>
  </mergeCells>
  <phoneticPr fontId="2" type="noConversion"/>
  <conditionalFormatting sqref="W3:X18 Z3:AB18">
    <cfRule type="expression" dxfId="2" priority="1">
      <formula>W3=""</formula>
    </cfRule>
  </conditionalFormatting>
  <conditionalFormatting sqref="S3">
    <cfRule type="containsText" dxfId="1" priority="2" operator="containsText" text="INATIVO">
      <formula>NOT(ISERROR(SEARCH("INATIVO",S3)))</formula>
    </cfRule>
    <cfRule type="containsText" dxfId="0" priority="3" operator="containsText" text="ATIVO">
      <formula>NOT(ISERROR(SEARCH("ATIVO",S3)))</formula>
    </cfRule>
  </conditionalFormatting>
  <dataValidations count="3">
    <dataValidation type="whole" operator="greaterThan" sqref="Q3:R3" xr:uid="{33C81DA0-721E-4883-B2AC-FFD6616FB4FA}">
      <formula1>0</formula1>
    </dataValidation>
    <dataValidation type="list" sqref="S3" xr:uid="{4F621DF7-FA03-4E2F-A801-08A7BBB3A609}">
      <formula1>lista_status_generico</formula1>
    </dataValidation>
    <dataValidation showInputMessage="1" showErrorMessage="1" sqref="P3" xr:uid="{D59F2C13-2025-4785-914C-68A9187E108F}"/>
  </dataValidations>
  <pageMargins left="0.75" right="0.75" top="1" bottom="1" header="0.5" footer="0.5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436B4-253F-44D1-BE99-0B4A8D13E5A8}">
  <sheetPr codeName="Folha1">
    <tabColor theme="1" tint="4.9989318521683403E-2"/>
  </sheetPr>
  <dimension ref="A1:J3"/>
  <sheetViews>
    <sheetView showGridLines="0" tabSelected="1" zoomScaleNormal="100"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1" max="1" width="46.81640625" style="4" bestFit="1" customWidth="1"/>
    <col min="2" max="2" width="13.81640625" style="4" bestFit="1" customWidth="1"/>
    <col min="3" max="3" width="19.90625" style="4" customWidth="1"/>
    <col min="4" max="4" width="12.453125" customWidth="1"/>
    <col min="5" max="5" width="16.81640625" customWidth="1"/>
    <col min="6" max="7" width="2.6328125" customWidth="1"/>
    <col min="8" max="8" width="16.1796875" bestFit="1" customWidth="1"/>
    <col min="9" max="9" width="9.36328125" bestFit="1" customWidth="1"/>
  </cols>
  <sheetData>
    <row r="1" spans="1:10" ht="17" customHeight="1" x14ac:dyDescent="0.35">
      <c r="A1" s="67" t="s">
        <v>206</v>
      </c>
      <c r="B1" s="67"/>
      <c r="C1" s="67"/>
      <c r="D1" s="67"/>
      <c r="E1" s="67"/>
      <c r="H1" s="67" t="s">
        <v>256</v>
      </c>
      <c r="I1" s="67"/>
      <c r="J1" s="67"/>
    </row>
    <row r="2" spans="1:10" x14ac:dyDescent="0.35">
      <c r="A2" s="29" t="s">
        <v>251</v>
      </c>
      <c r="B2" s="29" t="s">
        <v>243</v>
      </c>
      <c r="C2" s="29" t="s">
        <v>252</v>
      </c>
      <c r="D2" s="30" t="s">
        <v>202</v>
      </c>
      <c r="E2" s="30" t="s">
        <v>203</v>
      </c>
    </row>
    <row r="3" spans="1:10" x14ac:dyDescent="0.35">
      <c r="A3" s="42"/>
      <c r="B3" s="43"/>
      <c r="C3" s="45"/>
      <c r="D3" s="44"/>
      <c r="E3" s="46"/>
    </row>
  </sheetData>
  <mergeCells count="2">
    <mergeCell ref="A1:E1"/>
    <mergeCell ref="H1:J1"/>
  </mergeCells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753261-712D-4EF9-9BBE-5C0F5AAF69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6</vt:i4>
      </vt:variant>
    </vt:vector>
  </HeadingPairs>
  <TitlesOfParts>
    <vt:vector size="6" baseType="lpstr">
      <vt:lpstr>Lancamentos_Eventuais</vt:lpstr>
      <vt:lpstr>Lancamentos_Fixos</vt:lpstr>
      <vt:lpstr>PQ_Base_Opcoes_Formatada</vt:lpstr>
      <vt:lpstr>AUX_Base_Opcoes</vt:lpstr>
      <vt:lpstr>Base_Opcoes</vt:lpstr>
      <vt:lpstr>Configs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Victor Ozores</cp:lastModifiedBy>
  <cp:lastPrinted>2026-01-05T12:20:24Z</cp:lastPrinted>
  <dcterms:created xsi:type="dcterms:W3CDTF">2025-11-22T17:35:33Z</dcterms:created>
  <dcterms:modified xsi:type="dcterms:W3CDTF">2026-05-15T14:16:49Z</dcterms:modified>
</cp:coreProperties>
</file>